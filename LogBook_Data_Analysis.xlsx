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Interruption Management\Interruption_Management\data\processed\"/>
    </mc:Choice>
  </mc:AlternateContent>
  <xr:revisionPtr revIDLastSave="0" documentId="13_ncr:1_{7CF9ECD5-122F-49B5-B5DC-4A15F4A1BD56}" xr6:coauthVersionLast="47" xr6:coauthVersionMax="47" xr10:uidLastSave="{00000000-0000-0000-0000-000000000000}"/>
  <bookViews>
    <workbookView xWindow="-110" yWindow="-110" windowWidth="19420" windowHeight="11500" xr2:uid="{00000000-000D-0000-FFFF-FFFF00000000}"/>
  </bookViews>
  <sheets>
    <sheet name="Failure Log" sheetId="1" r:id="rId1"/>
    <sheet name="Failure Pivot" sheetId="8" r:id="rId2"/>
    <sheet name="Feeder Failure" sheetId="9" r:id="rId3"/>
    <sheet name="Electronic Communication Failur" sheetId="10" r:id="rId4"/>
    <sheet name="Group Reference Table" sheetId="7" r:id="rId5"/>
  </sheets>
  <definedNames>
    <definedName name="_xlnm._FilterDatabase" localSheetId="0" hidden="1">'Failure Log'!$A$1:$F$174</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8" i="1" l="1"/>
  <c r="H177" i="1"/>
  <c r="G178" i="1"/>
  <c r="G177"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2" i="1"/>
</calcChain>
</file>

<file path=xl/sharedStrings.xml><?xml version="1.0" encoding="utf-8"?>
<sst xmlns="http://schemas.openxmlformats.org/spreadsheetml/2006/main" count="1011" uniqueCount="202">
  <si>
    <t>Observations:</t>
  </si>
  <si>
    <t>Time Index</t>
  </si>
  <si>
    <t>Date</t>
  </si>
  <si>
    <t>Operation</t>
  </si>
  <si>
    <t>note</t>
  </si>
  <si>
    <t>08:30:00</t>
  </si>
  <si>
    <t>RTD/PAT</t>
  </si>
  <si>
    <t>Blend NIR - Concentration predicting closer to 10% (previous day closer to 11%). Batch was stopped and NIR reject limts changes to reflect new target (+/- 10%) (KM)</t>
  </si>
  <si>
    <t>Quality</t>
  </si>
  <si>
    <t>Run Start - 8:13 AM - Batch Ref = 20180112_8h7m (PO)</t>
  </si>
  <si>
    <t>09:00:00</t>
  </si>
  <si>
    <t>Run restart - 8:43 AM - Batch Ref: 20180112-8h37m using new blend NIR limits (PO)</t>
  </si>
  <si>
    <t>10:00:00</t>
  </si>
  <si>
    <t>Feeding</t>
  </si>
  <si>
    <t>Avicel PD4 - Communnication alarm resulted in system stop.Same communication error from previous day. System reset and restarted.(PO)</t>
  </si>
  <si>
    <t>11:30:00</t>
  </si>
  <si>
    <t>Blend NIR - Spike in prediction coincides with the scraping of the probe. Also an avicel drum change was made. Evaluate if shift coincides with Drum change.(PO)</t>
  </si>
  <si>
    <t>12:30:00</t>
  </si>
  <si>
    <t>Blend NIR - noticable peak in Api concentration- Evaluate if due to buildup of PAI on outlet of screw feeder (PD3) and then falling into feeder manifold- not confirmed (PO)</t>
  </si>
  <si>
    <t>13:00:00</t>
  </si>
  <si>
    <t>Blend NIR - appearace of concentration drift from the start of campaign 10.4% to 10.7% over 45 min time period.Noticed that RTD and Api feeder do not reflect change. (PO)</t>
  </si>
  <si>
    <t>13:30:00</t>
  </si>
  <si>
    <t>Avicel PD4 - Vacuum hopper ran empty due to void in bulk created by vacuum wand. Poor flow of material did not fill void. Process Stopped. Redistributed material in drum and restart system- issue resolved- (KM)</t>
  </si>
  <si>
    <t>14:30:00</t>
  </si>
  <si>
    <t>Avicel PD4 - Communnication alarm resulted in process stop.Same communication error from previous day. System reset and restarted.(PO)</t>
  </si>
  <si>
    <t>Ejection force high- System Paused but not evidenceof high ejection force. Restarted, no further issue. (AT)</t>
  </si>
  <si>
    <t>15:00:00</t>
  </si>
  <si>
    <t>Avicel PD4&amp; PD1- Vacuum hopper ran empty due to void in bulk created by vacuum wand. Poor flow of material did not fill void. Process stopped. Root cause unknown for PD1 (possible blinding of the sensor in the hopper).Redistributed material in drum and restart system- issue resolved- (AT)</t>
  </si>
  <si>
    <t>Tablet hardness trending high- compression force was reducing to compensate from 8.0 kp to 7.2 kp. New limits were rquired to be set for force to reflect change. (AT)</t>
  </si>
  <si>
    <t>Blend NIR Step change- Attempted to update limits to reflect offset in prediction. Restarted SynTQ orchestration, which resulted in reinitialization and scraping the probe clean of powder. Blend NIR concentration took a step change down down to ~ 10.1 (AT)</t>
  </si>
  <si>
    <t>15:30:00</t>
  </si>
  <si>
    <t>Material buildup Mag St PD7 - Noticed some material buildup on outlet of PD7. This may be due to airflow having no where to go from blender 2 and resulting I dust kicking back up towards the feeder. (AT)</t>
  </si>
  <si>
    <t>16:00:00</t>
  </si>
  <si>
    <t>APAP Feeder Motor speed- Noticed that there was a disturbance registered by RTD.  The screw speed drifted to 9000 rpm, then drifted back to normal range (~6500 rpm for 235:1 GR). Paused Run, decision was made to swap out motor for a 63:1. Wet clean was also performed to remove hardened material from the tip of the screws. Restarted Run. Resulting motor speed is now ~1500. Motor current error occured. wet cleaned screws and barrel, then restarted and process ran fine for a few minutes until motor error occured again. Screen was changed from 2mm to 8 mm after noticing material was getting clogged in the 2mm screen.(AT)</t>
  </si>
  <si>
    <t>19:00:00</t>
  </si>
  <si>
    <t>APAP feeder disturbance (PD3)- 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t>
  </si>
  <si>
    <t>Diversion Event by RTD- see notes on feeding column (AT)</t>
  </si>
  <si>
    <t>11:00:00</t>
  </si>
  <si>
    <t>Electronic Communication</t>
  </si>
  <si>
    <t>Avicel</t>
  </si>
  <si>
    <t>NIR</t>
  </si>
  <si>
    <t>Blend</t>
  </si>
  <si>
    <t>Feeders</t>
  </si>
  <si>
    <t>Avicel PD4 Bulk</t>
  </si>
  <si>
    <t>Avicel PD4</t>
  </si>
  <si>
    <t>Avicel PD4 and PD1 Bulk</t>
  </si>
  <si>
    <t>tablets</t>
  </si>
  <si>
    <t>Hardness</t>
  </si>
  <si>
    <t>17:00:00</t>
  </si>
  <si>
    <t>Adjustment</t>
  </si>
  <si>
    <t>Swapped out motor and screen</t>
  </si>
  <si>
    <t>Feeder</t>
  </si>
  <si>
    <t>APAP</t>
  </si>
  <si>
    <t>20:00:00</t>
  </si>
  <si>
    <t>RTD</t>
  </si>
  <si>
    <t>Diversion</t>
  </si>
  <si>
    <t>00:00:00</t>
  </si>
  <si>
    <t>Feeder Manifold Dedusting - System paused to remove excess buildup from feeder outlets- Restarted at 00:24hrs (AG)</t>
  </si>
  <si>
    <t>02:00:00</t>
  </si>
  <si>
    <t>NIR probe referencing error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t>
  </si>
  <si>
    <t>Rejection Event - See NIR Probe referenceing error in RTD/PAT notes</t>
  </si>
  <si>
    <t>03:00:00</t>
  </si>
  <si>
    <t>SynTQ failure- Probe Retraction/insertionmotor was reset in place. Model limts were increased to allow CDC to restart given the faulty calibration from prior event, but model not active. Restart was not possible without remiving prediction. Process started without NIR prediction untilAM support available. (SA)</t>
  </si>
  <si>
    <t>04:30:00</t>
  </si>
  <si>
    <t>Excess powder builup in feeder manifold - APAP feeder (PD3) mesh was changed back to 2 mm to reduce buildup that was occuring from use of 8 mm mesh. This resulted in current alarm with system stop as previously oserved. It was determined that the the new Gear ratio does not have the torque required to overcome the back pressure created by the screen and hence the current was too high. Continued operating near the upper limit of current- (SA)</t>
  </si>
  <si>
    <t>05:00:00</t>
  </si>
  <si>
    <t>APAP (PD3) current alarm - System Stop. Went back to 8mm mesh. Current back to normal level-issue resolved (SA)</t>
  </si>
  <si>
    <t>08:00:00</t>
  </si>
  <si>
    <t>PAT probe back online - Probe was found stuck in calibration position due to wing nut missing. Found wing nut and reinserted probe manually. PAT back online with accurate predictions - Issue resolved (KM)</t>
  </si>
  <si>
    <t>09:30:00</t>
  </si>
  <si>
    <t>PAT retraction/insertion motor failed- predictions reurn to 22%. After reinserting the probe manually the predictions are back to expected values.- issue resolved (PO)</t>
  </si>
  <si>
    <t>Pit stop (Cleaned feeder barrel) - Powder buildup  cleared  -(PO)</t>
  </si>
  <si>
    <t>Compression</t>
  </si>
  <si>
    <t>Pit Stop Dry clean ECM - There was no requirement driving the decision to clean (system did not shut down) but powder was starting to fall out of the ECM. (KM)</t>
  </si>
  <si>
    <t>10:30:00</t>
  </si>
  <si>
    <t>PAT retraction/insertion motor failed- probe stuck in retract postion after routine scraping. Appears step motor is failing, also possible there is some misalignment of the probe with the housing. (PO)</t>
  </si>
  <si>
    <t>Batch 3 started</t>
  </si>
  <si>
    <t>Crosscarm feeder (PD5)- communication error ( same as prior communication error) Feeder reset and system restart (AT)</t>
  </si>
  <si>
    <t>Avicel feeder (PD1)- communication error ( same as prior communication error) Feeder reset and system restart (AT)</t>
  </si>
  <si>
    <t>16:30:00</t>
  </si>
  <si>
    <t>Feeder barrel cleaning- Manifold into blender 1  was cleaned to ensure no bridging. Accidentally brushed feeer barrel and triggered disturbance (AT)</t>
  </si>
  <si>
    <t>RTD Rejection -  triggered by brushing the powder from the feeder outlets (AT)</t>
  </si>
  <si>
    <t>17:30:00</t>
  </si>
  <si>
    <t>NIR Probe calibration failure -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t>
  </si>
  <si>
    <t>RTD Rejection after restart  - Process  paused to evaluate the NIR probe insertion error. No evidence of actual disturbance by the feeders. There may be a software communication eror between SynTQ and the Press resulting in RTD continuing to process false dtaa during the system pause. (AT)</t>
  </si>
  <si>
    <t>18:30:00</t>
  </si>
  <si>
    <t>Lactose feeder (PD1)- communication error ( same as prior communication error) Feeder reset and system restart (AT)</t>
  </si>
  <si>
    <t>Crosscarm PD4 - Vacuum hopper ran empty due to void in bulk created by vacuum wand. Poor flow of material did not fill void. Redistributed material in drum and restart system- issue resolved- (AT)</t>
  </si>
  <si>
    <t>21:00:00</t>
  </si>
  <si>
    <t>Mag St feeder cleaning  - Noticed feeder was remaining in volumeric modefor extended aount of time after refill.  Paused the process to vacuum the buildup around feeder outlet. Restarted system returned to gravimetric operation- issue resolved (AT)</t>
  </si>
  <si>
    <t>23:30:00</t>
  </si>
  <si>
    <t>APAP Feeder Stopped - Tablets Rejected for low potency until back into specification. Apparently the feeder massflow dipped to -8 kg/hr with not change in screw speed.(AG)</t>
  </si>
  <si>
    <t>RTD Rejection- After  negative APAP disturbance entered the system (AG)</t>
  </si>
  <si>
    <t>Cleaning</t>
  </si>
  <si>
    <t>Feeder outlets in blender 1 entrance</t>
  </si>
  <si>
    <t>PAT Error/adjustment</t>
  </si>
  <si>
    <t>Verify any stops</t>
  </si>
  <si>
    <t>change of outlet mesh</t>
  </si>
  <si>
    <t>verify any stops</t>
  </si>
  <si>
    <t>Pit stop</t>
  </si>
  <si>
    <t>crosscarm PD5</t>
  </si>
  <si>
    <t>Avicel PD1</t>
  </si>
  <si>
    <t>Cleaning of feeders entering blender 1</t>
  </si>
  <si>
    <t>Rejection</t>
  </si>
  <si>
    <t>Lactose PD1</t>
  </si>
  <si>
    <t>AcDiSol PD5</t>
  </si>
  <si>
    <t>MgSt</t>
  </si>
  <si>
    <t>Mgst</t>
  </si>
  <si>
    <t>rejection</t>
  </si>
  <si>
    <t>01:30:00</t>
  </si>
  <si>
    <t>Tablet Press - Noticed that Tablet Chute actuator was getting hot +/- 57 °C (AG)</t>
  </si>
  <si>
    <t>Lactose Refill failing- 3 x Over the period of 20 min the lacotse refill was empty and material not getting into the feeder. This resulted in a few short stops, which the system automatically started again. Possible blinding of the top up level sensor, knocked the side of the hopper and then restarted the process(AT)</t>
  </si>
  <si>
    <t>Punch Lubrication Status - Process paused to check status of punch lubrication. Blender 1 &amp; 2 inlet ports vacuumed during pause (AG)</t>
  </si>
  <si>
    <t>03:30:00</t>
  </si>
  <si>
    <t>Avicel PD4 Communication error - Process stopped. Acknowledged and restarted (AG)</t>
  </si>
  <si>
    <t>05:30:00</t>
  </si>
  <si>
    <t>Avicel PD4 Communication error - Process Paused. Acknowledged and restarted (AG)</t>
  </si>
  <si>
    <t>06:30:00</t>
  </si>
  <si>
    <t>07:30:00</t>
  </si>
  <si>
    <t>HMI running too slow - System paused and restarted</t>
  </si>
  <si>
    <t>Blending</t>
  </si>
  <si>
    <t>Increase throuhput - from 50 kg/hr to  55 kg/hr and press speed from 53 RPM to 58 RPM. Changes were made in manual as the system does not allow manual changes within a campaign.</t>
  </si>
  <si>
    <t>Pit Stop - Vacuum feeder barrels, API bellows btwn top and feeder. (KM)</t>
  </si>
  <si>
    <t>Pit Stop - Vacuum ECM</t>
  </si>
  <si>
    <t>Avicel PD4 Communication error - Process Stopped. Acknowledged and restarted (AG)</t>
  </si>
  <si>
    <t>Lactose PD2 Communication error - Process Stopped. Acknowledged and restarted (AG)</t>
  </si>
  <si>
    <t>Feeder manifold dedusting - Process Paused to clean the manifold into B1. Some bridging observed btwn PD3 &amp; PD4 (AT)</t>
  </si>
  <si>
    <t>18:00:00</t>
  </si>
  <si>
    <t>Avicel PD4 Communication error - Process Stopped. Acknowledged and restarted (AT)_x000D_
MgSt incompete refill- top up was full, but material was not filling the refill bucket. Knocking the side of the hopper promoted the materialto flow into the refill. (AT)</t>
  </si>
  <si>
    <t>Avicel Refill not complete - Top up seemed full but material was not being delivered to the feeder. (AT)</t>
  </si>
  <si>
    <t>22:30:00</t>
  </si>
  <si>
    <t>Avicel PD4 Communication error - Process Stopped. Acknowledged and restarted (AT)</t>
  </si>
  <si>
    <t>Pit Stop - Vacuum B1 feeder manifold,  noticed PD1 had a disturbance due to material build up at outlet into B1 (AG)</t>
  </si>
  <si>
    <t>Press check</t>
  </si>
  <si>
    <t>HMI reset</t>
  </si>
  <si>
    <t>Lactose PD2</t>
  </si>
  <si>
    <t>Pit stop (Feeder Manifold)</t>
  </si>
  <si>
    <t>00:30:00</t>
  </si>
  <si>
    <t>Crosscarm PD5 Communication error - Process Stopped. Acknowledged and restarted (AT)</t>
  </si>
  <si>
    <t>Avicel PD4 Communication error - Process Stopped. Upon restart did not acknowledge the alarm and the system alarmed and stopped due to "mass flow stabilization failure"Acknowledged and restarted (AG)</t>
  </si>
  <si>
    <t>Avicel PD2 Communication error - Process Stopped. Acknowledged and restarted (AG)</t>
  </si>
  <si>
    <t>Pit Stop - Vacuum B1 &amp; B2 feeder Manifolds. (AG)</t>
  </si>
  <si>
    <t>Pit Stop - Vacuum B1 &amp; B2 feeder Manifolds. Prior to pit stop it was noticed that PD1 was showing disturbances. Pulled back feeder and saw there was no bridging, but powder beneath the feeder barren and the manifold. (AG)</t>
  </si>
  <si>
    <t>06:00:00</t>
  </si>
  <si>
    <t>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t>
  </si>
  <si>
    <t>Pit Stop - Vacuum feeders (KM)</t>
  </si>
  <si>
    <t>New Lot of Avicel in PD4 (Lot 71732C)- Observed change step change of feed factor (PO)</t>
  </si>
  <si>
    <t>Crosscarm PD5 Communication error - Process Stopped. Acknowledged and restarted (PO)_x000D_
Avicel PD4 Communication error - Process Stopped. Acknowledged and restarted-(KM) _x000D_
NOTE:Copper connections changed to gold on the MSD system, so do not expect the same issues) (PO)</t>
  </si>
  <si>
    <t>Lactose PD2 Communication error - Process Stopped. Acknowledged and restarted (AT)</t>
  </si>
  <si>
    <t>PD3 Drift of screw speed and feed factor - Paused the process to clean the feeder manifold of B1. After restart, an accidental disturbance during cleaning resulted in  PD4 and PD5 thinking it was empty and refilled and overfilled. Process paused. Excess had tp be vacuumed. (AT)</t>
  </si>
  <si>
    <t>RTD Spike after restart- Similar to previous Spike after restart, there is no evidence it is real and related to a software glitch (AT)</t>
  </si>
  <si>
    <t>Crosscarm PD5 Vacuum cycle time -Level sensor in the top up was not being triggered after a draw from the bulk, suggesting more material needed to be vacuumed to trigger the level sensor. Increased time to 45 seconds. (AT)</t>
  </si>
  <si>
    <t>21:30:00</t>
  </si>
  <si>
    <t>PD3 Drift of screw speed and feed factor - Attempted to brush off material from end of feeder barrel without pausing. (AT)</t>
  </si>
  <si>
    <t>Crosscarm PD5</t>
  </si>
  <si>
    <t>Feeder manifolds</t>
  </si>
  <si>
    <t>Feder Manifolds</t>
  </si>
  <si>
    <t>Avicel PD4 &amp; Crosscarm PD5</t>
  </si>
  <si>
    <t>B1 Manifold</t>
  </si>
  <si>
    <t>APAP Screwspeed</t>
  </si>
  <si>
    <t>Pit Stop - Vacuum B1 &amp; B2 inlet port (AG)</t>
  </si>
  <si>
    <t>Feeder Overfilled- After pitstop feeder unstable massflow folowed the overfill. (AG)</t>
  </si>
  <si>
    <t>Press not starting- Door sensor found loose and taped. Isssue resolved Process started (AG)</t>
  </si>
  <si>
    <t>Blend Potency OOS- after resuming from pit stop OOS occurred. Same issue seen 2 oher instances. (AG)</t>
  </si>
  <si>
    <t>07:00:00</t>
  </si>
  <si>
    <t>Avicel PD2 Communication error - Process Stopped. Acknowledged and restarted (PO)</t>
  </si>
  <si>
    <t>Throughput change to 55 kg/hr</t>
  </si>
  <si>
    <t>Compression Force Compensator - Read/Write difference. Happened 3 consecutive times. Manual change of setpoint fixed the issue. -issue resolved(KM)</t>
  </si>
  <si>
    <t>Pit Stop - Vacuum B1 &amp; B2 inlet port (AT)</t>
  </si>
  <si>
    <t>Pit Stop - Vacuum the ECM (AT)</t>
  </si>
  <si>
    <t>Avicel PD2 Communication error - Process Stopped. Acknowledged and restarted (AT)</t>
  </si>
  <si>
    <t>Lactose Refill failing-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t>
  </si>
  <si>
    <t>19:30:00</t>
  </si>
  <si>
    <t>Avicel PD1 Communication error - Process Stopped. Acknowledged and restarted (AT)</t>
  </si>
  <si>
    <t>23:00:00</t>
  </si>
  <si>
    <t>B1 &amp; B2</t>
  </si>
  <si>
    <t>Drift after stop</t>
  </si>
  <si>
    <t>Avcicel PD2</t>
  </si>
  <si>
    <t>Pit Stop</t>
  </si>
  <si>
    <t>Avcicel PD4</t>
  </si>
  <si>
    <t>Lactose Refill Failure</t>
  </si>
  <si>
    <t>Lactose PD 2</t>
  </si>
  <si>
    <t>02:30:00</t>
  </si>
  <si>
    <t>Crosscarm PD5 Communication error - Process Stopped. Acknowledged and restarted (AG)</t>
  </si>
  <si>
    <t xml:space="preserve">Avicel PD4 Communication error - Process Stopped. Acknowledged and restarted (KM)_x000D_
Crosscarm PD5 Communication error - Process Stopped. Acknowledged and restarted (KM)_x000D_
</t>
  </si>
  <si>
    <t>Batch Complete</t>
  </si>
  <si>
    <t>LHP found to have Broken seal</t>
  </si>
  <si>
    <t>Avicel  PD4/Crosscarm PD5</t>
  </si>
  <si>
    <t>Avicel PD2</t>
  </si>
  <si>
    <t>Row Labels</t>
  </si>
  <si>
    <t>Grand Total</t>
  </si>
  <si>
    <t>Group</t>
  </si>
  <si>
    <t>Reference Table</t>
  </si>
  <si>
    <t>New Label</t>
  </si>
  <si>
    <t>Logbook Label</t>
  </si>
  <si>
    <t>Feeder/Feeding</t>
  </si>
  <si>
    <t>Tablets</t>
  </si>
  <si>
    <t>Count of Observations:</t>
  </si>
  <si>
    <t>Details for Count of Observations: - Group: Feeder/Feeding</t>
  </si>
  <si>
    <t>Details for Count of Observations: - Group: Electronic Communication</t>
  </si>
  <si>
    <t># Characters</t>
  </si>
  <si>
    <t>Word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</si>
</sst>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0" fillId="0" borderId="0" xfId="0" applyAlignment="1">
      <alignment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1" fillId="0" borderId="0" xfId="0" applyFont="1"/>
    <xf numFmtId="0" fontId="2" fillId="2" borderId="1" xfId="0" applyFont="1" applyFill="1" applyBorder="1" applyAlignment="1">
      <alignment horizontal="center" vertical="center"/>
    </xf>
    <xf numFmtId="0" fontId="0" fillId="0" borderId="1" xfId="0" applyBorder="1"/>
    <xf numFmtId="0" fontId="0" fillId="3" borderId="1" xfId="0" applyFill="1" applyBorder="1"/>
    <xf numFmtId="0" fontId="0" fillId="0" borderId="0" xfId="0" applyAlignment="1">
      <alignment horizontal="center" vertical="center"/>
    </xf>
    <xf numFmtId="0" fontId="0" fillId="0" borderId="0" xfId="0" applyAlignment="1">
      <alignment horizontal="center" vertical="center" wrapText="1"/>
    </xf>
    <xf numFmtId="0" fontId="2" fillId="2" borderId="1" xfId="0" applyFont="1" applyFill="1" applyBorder="1" applyAlignment="1">
      <alignment horizontal="center" vertical="center"/>
    </xf>
    <xf numFmtId="0" fontId="1" fillId="4" borderId="0" xfId="0" applyFont="1" applyFill="1" applyAlignment="1">
      <alignment horizontal="center" vertical="center"/>
    </xf>
  </cellXfs>
  <cellStyles count="1">
    <cellStyle name="Normal" xfId="0" builtinId="0"/>
  </cellStyles>
  <dxfs count="2">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[LogBook_Data_Analysis.xlsx]Failure Pivot!PivotTable2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 of Log Entries or Incidents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'Failure 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'Failure Pivot'!$A$4:$A$14</c:f>
              <c:strCache>
                <c:ptCount val="10"/>
                <c:pt idx="0">
                  <c:v>Adjustment</c:v>
                </c:pt>
                <c:pt idx="1">
                  <c:v>Blending</c:v>
                </c:pt>
                <c:pt idx="2">
                  <c:v>Cleaning</c:v>
                </c:pt>
                <c:pt idx="3">
                  <c:v>Compression</c:v>
                </c:pt>
                <c:pt idx="4">
                  <c:v>Electronic Communication</c:v>
                </c:pt>
                <c:pt idx="5">
                  <c:v>Feeder/Feeding</c:v>
                </c:pt>
                <c:pt idx="6">
                  <c:v>NIR</c:v>
                </c:pt>
                <c:pt idx="7">
                  <c:v>Quality</c:v>
                </c:pt>
                <c:pt idx="8">
                  <c:v>RTD/PAT</c:v>
                </c:pt>
                <c:pt idx="9">
                  <c:v>Tablets</c:v>
                </c:pt>
              </c:strCache>
            </c:strRef>
          </c:cat>
          <c:val>
            <c:numRef>
              <c:f>'Failure Pivot'!$B$4:$B$14</c:f>
              <c:numCache>
                <c:formatCode>General</c:formatCode>
                <c:ptCount val="10"/>
                <c:pt idx="0">
                  <c:v>5</c:v>
                </c:pt>
                <c:pt idx="1">
                  <c:v>4</c:v>
                </c:pt>
                <c:pt idx="2">
                  <c:v>13</c:v>
                </c:pt>
                <c:pt idx="3">
                  <c:v>11</c:v>
                </c:pt>
                <c:pt idx="4">
                  <c:v>29</c:v>
                </c:pt>
                <c:pt idx="5">
                  <c:v>77</c:v>
                </c:pt>
                <c:pt idx="6">
                  <c:v>2</c:v>
                </c:pt>
                <c:pt idx="7">
                  <c:v>11</c:v>
                </c:pt>
                <c:pt idx="8">
                  <c:v>20</c:v>
                </c:pt>
                <c:pt idx="9">
                  <c:v>1</c:v>
                </c:pt>
              </c:numCache>
            </c:numRef>
          </c:val>
          <c:extLst>
            <c:ext xmlns:c16="http://schemas.microsoft.com/office/drawing/2014/chart" uri="{C3380CC4-5D6E-409C-BE32-E72D297353CC}">
              <c16:uniqueId val="{00000000-6E1F-4EF3-AB1C-F1997F207138}"/>
            </c:ext>
          </c:extLst>
        </c:ser>
        <c:dLbls>
          <c:showLegendKey val="0"/>
          <c:showVal val="0"/>
          <c:showCatName val="0"/>
          <c:showSerName val="0"/>
          <c:showPercent val="0"/>
          <c:showBubbleSize val="0"/>
        </c:dLbls>
        <c:gapWidth val="100"/>
        <c:overlap val="-24"/>
        <c:axId val="942959487"/>
        <c:axId val="942967647"/>
      </c:barChart>
      <c:catAx>
        <c:axId val="942959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Entry</a:t>
                </a:r>
                <a:r>
                  <a:rPr lang="en-US" baseline="0"/>
                  <a:t> Group</a:t>
                </a:r>
                <a:r>
                  <a:rPr lang="en-US"/>
                  <a:t>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2967647"/>
        <c:crosses val="autoZero"/>
        <c:auto val="1"/>
        <c:lblAlgn val="ctr"/>
        <c:lblOffset val="100"/>
        <c:noMultiLvlLbl val="0"/>
      </c:catAx>
      <c:valAx>
        <c:axId val="9429676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t>
                </a:r>
                <a:r>
                  <a:rPr lang="en-US" baseline="0"/>
                  <a:t> of Entries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295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568325</xdr:colOff>
      <xdr:row>4</xdr:row>
      <xdr:rowOff>98425</xdr:rowOff>
    </xdr:from>
    <xdr:to>
      <xdr:col>10</xdr:col>
      <xdr:colOff>263525</xdr:colOff>
      <xdr:row>19</xdr:row>
      <xdr:rowOff>79375</xdr:rowOff>
    </xdr:to>
    <xdr:graphicFrame macro="">
      <xdr:nvGraphicFramePr>
        <xdr:cNvPr id="2" name="Chart 1">
          <a:extLst>
            <a:ext uri="{FF2B5EF4-FFF2-40B4-BE49-F238E27FC236}">
              <a16:creationId xmlns:a16="http://schemas.microsoft.com/office/drawing/2014/main" id="{43CDAC03-5846-4662-CCC9-63EC5203A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Antwi" refreshedDate="46037.504184953701" createdVersion="8" refreshedVersion="8" minRefreshableVersion="3" recordCount="174" xr:uid="{7318FB92-A0DB-41C1-92C0-470E6DCEB504}">
  <cacheSource type="worksheet">
    <worksheetSource ref="A1:F1048576" sheet="Failure Log"/>
  </cacheSource>
  <cacheFields count="6">
    <cacheField name="Observations:" numFmtId="0">
      <sharedItems containsBlank="1"/>
    </cacheField>
    <cacheField name="Time Index" numFmtId="0">
      <sharedItems containsString="0" containsBlank="1" containsNumber="1" containsInteger="1" minValue="1" maxValue="48"/>
    </cacheField>
    <cacheField name="Date" numFmtId="0">
      <sharedItems containsString="0" containsBlank="1" containsNumber="1" containsInteger="1" minValue="12" maxValue="17"/>
    </cacheField>
    <cacheField name="Operation" numFmtId="0">
      <sharedItems containsBlank="1"/>
    </cacheField>
    <cacheField name="Group" numFmtId="0">
      <sharedItems containsBlank="1" count="11">
        <s v="RTD/PAT"/>
        <s v="Quality"/>
        <s v="Feeder/Feeding"/>
        <s v="Electronic Communication"/>
        <s v="NIR"/>
        <s v="Tablets"/>
        <s v="Adjustment"/>
        <s v="Compression"/>
        <s v="Cleaning"/>
        <s v="Blending"/>
        <m/>
      </sharedItems>
    </cacheField>
    <cacheField name="not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s v="08:30:00"/>
    <n v="1"/>
    <n v="12"/>
    <s v="RTD/PAT"/>
    <x v="0"/>
    <s v="Blend NIR - Concentration predicting closer to 10% (previous day closer to 11%). Batch was stopped and NIR reject limts changes to reflect new target (+/- 10%) (KM)"/>
  </r>
  <r>
    <s v="08:30:00"/>
    <n v="1"/>
    <n v="12"/>
    <s v="Quality"/>
    <x v="1"/>
    <s v="Run Start - 8:13 AM - Batch Ref = 20180112_8h7m (PO)"/>
  </r>
  <r>
    <s v="09:00:00"/>
    <n v="2"/>
    <n v="12"/>
    <s v="Quality"/>
    <x v="1"/>
    <s v="Run restart - 8:43 AM - Batch Ref: 20180112-8h37m using new blend NIR limits (PO)"/>
  </r>
  <r>
    <s v="10:00:00"/>
    <n v="4"/>
    <n v="12"/>
    <s v="Feeding"/>
    <x v="2"/>
    <s v="Avicel PD4 - Communnication alarm resulted in system stop.Same communication error from previous day. System reset and restarted.(PO)"/>
  </r>
  <r>
    <s v="11:30:00"/>
    <n v="7"/>
    <n v="12"/>
    <s v="RTD/PAT"/>
    <x v="0"/>
    <s v="Blend NIR - Spike in prediction coincides with the scraping of the probe. Also an avicel drum change was made. Evaluate if shift coincides with Drum change.(PO)"/>
  </r>
  <r>
    <s v="12:30:00"/>
    <n v="9"/>
    <n v="12"/>
    <s v="RTD/PAT"/>
    <x v="0"/>
    <s v="Blend NIR - noticable peak in Api concentration- Evaluate if due to buildup of PAI on outlet of screw feeder (PD3) and then falling into feeder manifold- not confirmed (PO)"/>
  </r>
  <r>
    <s v="13:00:00"/>
    <n v="10"/>
    <n v="12"/>
    <s v="RTD/PAT"/>
    <x v="0"/>
    <s v="Blend NIR - appearace of concentration drift from the start of campaign 10.4% to 10.7% over 45 min time period.Noticed that RTD and Api feeder do not reflect change. (PO)"/>
  </r>
  <r>
    <s v="13:30:00"/>
    <n v="11"/>
    <n v="12"/>
    <s v="Feeding"/>
    <x v="2"/>
    <s v="Avicel PD4 - Vacuum hopper ran empty due to void in bulk created by vacuum wand. Poor flow of material did not fill void. Process Stopped. Redistributed material in drum and restart system- issue resolved- (KM)"/>
  </r>
  <r>
    <s v="14:30:00"/>
    <n v="13"/>
    <n v="12"/>
    <s v="Feeding"/>
    <x v="2"/>
    <s v="Avicel PD4 - Communnication alarm resulted in process stop.Same communication error from previous day. System reset and restarted.(PO)"/>
  </r>
  <r>
    <s v="14:30:00"/>
    <n v="13"/>
    <n v="12"/>
    <s v="RTD/PAT"/>
    <x v="0"/>
    <s v="Ejection force high- System Paused but not evidenceof high ejection force. Restarted, no further issue. (AT)"/>
  </r>
  <r>
    <s v="15:00:00"/>
    <n v="14"/>
    <n v="12"/>
    <s v="Feeding"/>
    <x v="2"/>
    <s v="Avicel PD4&amp; PD1- Vacuum hopper ran empty due to void in bulk created by vacuum wand. Poor flow of material did not fill void. Process stopped. Root cause unknown for PD1 (possible blinding of the sensor in the hopper).Redistributed material in drum and restart system- issue resolved- (AT)"/>
  </r>
  <r>
    <s v="15:00:00"/>
    <n v="14"/>
    <n v="12"/>
    <s v="RTD/PAT"/>
    <x v="0"/>
    <s v="Tablet hardness trending high- compression force was reducing to compensate from 8.0 kp to 7.2 kp. New limits were rquired to be set for force to reflect change. (AT)"/>
  </r>
  <r>
    <s v="15:00:00"/>
    <n v="14"/>
    <n v="12"/>
    <s v="Quality"/>
    <x v="1"/>
    <s v="Blend NIR Step change- Attempted to update limits to reflect offset in prediction. Restarted SynTQ orchestration, which resulted in reinitialization and scraping the probe clean of powder. Blend NIR concentration took a step change down down to ~ 10.1 (AT)"/>
  </r>
  <r>
    <s v="15:30:00"/>
    <n v="15"/>
    <n v="12"/>
    <s v="Feeding"/>
    <x v="2"/>
    <s v="Material buildup Mag St PD7 - Noticed some material buildup on outlet of PD7. This may be due to airflow having no where to go from blender 2 and resulting I dust kicking back up towards the feeder. (AT)"/>
  </r>
  <r>
    <s v="16:00:00"/>
    <n v="16"/>
    <n v="12"/>
    <s v="Feeding"/>
    <x v="2"/>
    <s v="APAP Feeder Motor speed- Noticed that there was a disturbance registered by RTD.  The screw speed drifted to 9000 rpm, then drifted back to normal range (~6500 rpm for 235:1 GR). Paused Run, decision was made to swap out motor for a 63:1. Wet clean was also performed to remove hardened material from the tip of the screws. Restarted Run. Resulting motor speed is now ~1500. Motor current error occured. wet cleaned screws and barrel, then restarted and process ran fine for a few minutes until motor error occured again. Screen was changed from 2mm to 8 mm after noticing material was getting clogged in the 2mm screen.(AT)"/>
  </r>
  <r>
    <s v="19:00:00"/>
    <n v="22"/>
    <n v="12"/>
    <s v="Feeding"/>
    <x v="2"/>
    <s v="APAP feeder disturbance (PD3)- 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
  </r>
  <r>
    <s v="19:00:00"/>
    <n v="22"/>
    <n v="12"/>
    <s v="Quality"/>
    <x v="1"/>
    <s v="Diversion Event by RTD- see notes on feeding column (AT)"/>
  </r>
  <r>
    <s v="11:00:00"/>
    <n v="6"/>
    <n v="12"/>
    <s v="Electronic Communication"/>
    <x v="3"/>
    <s v="Avicel"/>
  </r>
  <r>
    <s v="12:30:00"/>
    <n v="9"/>
    <n v="12"/>
    <s v="NIR"/>
    <x v="4"/>
    <s v="Blend"/>
  </r>
  <r>
    <s v="13:30:00"/>
    <n v="11"/>
    <n v="12"/>
    <s v="NIR"/>
    <x v="4"/>
    <s v="Blend"/>
  </r>
  <r>
    <s v="14:30:00"/>
    <n v="13"/>
    <n v="12"/>
    <s v="Feeders"/>
    <x v="2"/>
    <s v="Avicel PD4 Bulk"/>
  </r>
  <r>
    <s v="15:30:00"/>
    <n v="15"/>
    <n v="12"/>
    <s v="Electronic Communication"/>
    <x v="3"/>
    <s v="Avicel PD4"/>
  </r>
  <r>
    <s v="16:00:00"/>
    <n v="16"/>
    <n v="12"/>
    <s v="Feeders"/>
    <x v="2"/>
    <s v="Avicel PD4 and PD1 Bulk"/>
  </r>
  <r>
    <s v="16:00:00"/>
    <n v="16"/>
    <n v="12"/>
    <s v="tablets"/>
    <x v="5"/>
    <s v="Hardness"/>
  </r>
  <r>
    <s v="17:00:00"/>
    <n v="18"/>
    <n v="12"/>
    <s v="Adjustment"/>
    <x v="6"/>
    <s v="Swapped out motor and screen"/>
  </r>
  <r>
    <s v="17:00:00"/>
    <n v="18"/>
    <n v="12"/>
    <s v="Feeder"/>
    <x v="2"/>
    <s v="APAP"/>
  </r>
  <r>
    <s v="20:00:00"/>
    <n v="24"/>
    <n v="12"/>
    <s v="RTD"/>
    <x v="0"/>
    <s v="Diversion"/>
  </r>
  <r>
    <s v="00:00:00"/>
    <n v="1"/>
    <n v="13"/>
    <s v="Feeding"/>
    <x v="2"/>
    <s v="Feeder Manifold Dedusting - System paused to remove excess buildup from feeder outlets- Restarted at 00:24hrs (AG)"/>
  </r>
  <r>
    <s v="02:00:00"/>
    <n v="5"/>
    <n v="13"/>
    <s v="RTD/PAT"/>
    <x v="0"/>
    <s v="NIR probe referencing error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
  </r>
  <r>
    <s v="02:00:00"/>
    <n v="5"/>
    <n v="13"/>
    <s v="Quality"/>
    <x v="1"/>
    <s v="Rejection Event - See NIR Probe referenceing error in RTD/PAT notes"/>
  </r>
  <r>
    <s v="03:00:00"/>
    <n v="7"/>
    <n v="13"/>
    <s v="RTD/PAT"/>
    <x v="0"/>
    <s v="SynTQ failure- Probe Retraction/insertionmotor was reset in place. Model limts were increased to allow CDC to restart given the faulty calibration from prior event, but model not active. Restart was not possible without remiving prediction. Process started without NIR prediction untilAM support available. (SA)"/>
  </r>
  <r>
    <s v="04:30:00"/>
    <n v="10"/>
    <n v="13"/>
    <s v="Feeding"/>
    <x v="2"/>
    <s v="Excess powder builup in feeder manifold - APAP feeder (PD3) mesh was changed back to 2 mm to reduce buildup that was occuring from use of 8 mm mesh. This resulted in current alarm with system stop as previously oserved. It was determined that the the new Gear ratio does not have the torque required to overcome the back pressure created by the screen and hence the current was too high. Continued operating near the upper limit of current- (SA)"/>
  </r>
  <r>
    <s v="05:00:00"/>
    <n v="11"/>
    <n v="13"/>
    <s v="Feeding"/>
    <x v="2"/>
    <s v="APAP (PD3) current alarm - System Stop. Went back to 8mm mesh. Current back to normal level-issue resolved (SA)"/>
  </r>
  <r>
    <s v="08:00:00"/>
    <n v="17"/>
    <n v="13"/>
    <s v="RTD/PAT"/>
    <x v="0"/>
    <s v="PAT probe back online - Probe was found stuck in calibration position due to wing nut missing. Found wing nut and reinserted probe manually. PAT back online with accurate predictions - Issue resolved (KM)"/>
  </r>
  <r>
    <s v="09:30:00"/>
    <n v="20"/>
    <n v="13"/>
    <s v="RTD/PAT"/>
    <x v="0"/>
    <s v="PAT retraction/insertion motor failed- predictions reurn to 22%. After reinserting the probe manually the predictions are back to expected values.- issue resolved (PO)"/>
  </r>
  <r>
    <s v="10:00:00"/>
    <n v="21"/>
    <n v="13"/>
    <s v="Feeding"/>
    <x v="2"/>
    <s v="Pit stop (Cleaned feeder barrel) - Powder buildup  cleared  -(PO)"/>
  </r>
  <r>
    <s v="10:00:00"/>
    <n v="21"/>
    <n v="13"/>
    <s v="Compression"/>
    <x v="7"/>
    <s v="Pit Stop Dry clean ECM - There was no requirement driving the decision to clean (system did not shut down) but powder was starting to fall out of the ECM. (KM)"/>
  </r>
  <r>
    <s v="10:30:00"/>
    <n v="22"/>
    <n v="13"/>
    <s v="RTD/PAT"/>
    <x v="0"/>
    <s v="PAT retraction/insertion motor failed- probe stuck in retract postion after routine scraping. Appears step motor is failing, also possible there is some misalignment of the probe with the housing. (PO)"/>
  </r>
  <r>
    <s v="13:00:00"/>
    <n v="27"/>
    <n v="13"/>
    <s v="Quality"/>
    <x v="1"/>
    <s v="Batch 3 started"/>
  </r>
  <r>
    <s v="13:30:00"/>
    <n v="28"/>
    <n v="13"/>
    <s v="Feeding"/>
    <x v="2"/>
    <s v="Crosscarm feeder (PD5)- communication error ( same as prior communication error) Feeder reset and system restart (AT)"/>
  </r>
  <r>
    <s v="15:00:00"/>
    <n v="31"/>
    <n v="13"/>
    <s v="Feeding"/>
    <x v="2"/>
    <s v="Avicel feeder (PD1)- communication error ( same as prior communication error) Feeder reset and system restart (AT)"/>
  </r>
  <r>
    <s v="16:30:00"/>
    <n v="34"/>
    <n v="13"/>
    <s v="Feeding"/>
    <x v="2"/>
    <s v="Feeder barrel cleaning- Manifold into blender 1  was cleaned to ensure no bridging. Accidentally brushed feeer barrel and triggered disturbance (AT)"/>
  </r>
  <r>
    <s v="16:30:00"/>
    <n v="34"/>
    <n v="13"/>
    <s v="Quality"/>
    <x v="1"/>
    <s v="RTD Rejection -  triggered by brushing the powder from the feeder outlets (AT)"/>
  </r>
  <r>
    <s v="17:30:00"/>
    <n v="36"/>
    <n v="13"/>
    <s v="RTD/PAT"/>
    <x v="0"/>
    <s v="NIR Probe calibration failure -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
  </r>
  <r>
    <s v="17:30:00"/>
    <n v="36"/>
    <n v="13"/>
    <s v="Quality"/>
    <x v="1"/>
    <s v="RTD Rejection after restart  - Process  paused to evaluate the NIR probe insertion error. No evidence of actual disturbance by the feeders. There may be a software communication eror between SynTQ and the Press resulting in RTD continuing to process false dtaa during the system pause. (AT)"/>
  </r>
  <r>
    <s v="18:30:00"/>
    <n v="38"/>
    <n v="13"/>
    <s v="Feeding"/>
    <x v="2"/>
    <s v="Lactose feeder (PD1)- communication error ( same as prior communication error) Feeder reset and system restart (AT)"/>
  </r>
  <r>
    <s v="19:00:00"/>
    <n v="39"/>
    <n v="13"/>
    <s v="Feeding"/>
    <x v="2"/>
    <s v="Crosscarm PD4 - Vacuum hopper ran empty due to void in bulk created by vacuum wand. Poor flow of material did not fill void. Redistributed material in drum and restart system- issue resolved- (AT)"/>
  </r>
  <r>
    <s v="21:00:00"/>
    <n v="43"/>
    <n v="13"/>
    <s v="Feeding"/>
    <x v="2"/>
    <s v="Mag St feeder cleaning  - Noticed feeder was remaining in volumeric modefor extended aount of time after refill.  Paused the process to vacuum the buildup around feeder outlet. Restarted system returned to gravimetric operation- issue resolved (AT)"/>
  </r>
  <r>
    <s v="23:30:00"/>
    <n v="48"/>
    <n v="13"/>
    <s v="Feeding"/>
    <x v="2"/>
    <s v="APAP Feeder Stopped - Tablets Rejected for low potency until back into specification. Apparently the feeder massflow dipped to -8 kg/hr with not change in screw speed.(AG)"/>
  </r>
  <r>
    <s v="23:30:00"/>
    <n v="48"/>
    <n v="13"/>
    <s v="Quality"/>
    <x v="1"/>
    <s v="RTD Rejection- After  negative APAP disturbance entered the system (AG)"/>
  </r>
  <r>
    <s v="00:00:00"/>
    <n v="1"/>
    <n v="13"/>
    <s v="Cleaning"/>
    <x v="8"/>
    <s v="Feeder outlets in blender 1 entrance"/>
  </r>
  <r>
    <s v="02:00:00"/>
    <n v="5"/>
    <n v="13"/>
    <s v="PAT Error/adjustment"/>
    <x v="0"/>
    <s v="Verify any stops"/>
  </r>
  <r>
    <s v="03:00:00"/>
    <n v="7"/>
    <n v="13"/>
    <s v="PAT Error/adjustment"/>
    <x v="0"/>
    <s v="Verify any stops"/>
  </r>
  <r>
    <s v="04:30:00"/>
    <n v="10"/>
    <n v="13"/>
    <s v="Feeders"/>
    <x v="2"/>
    <s v="APAP"/>
  </r>
  <r>
    <s v="05:00:00"/>
    <n v="11"/>
    <n v="13"/>
    <s v="Adjustment"/>
    <x v="6"/>
    <s v="change of outlet mesh"/>
  </r>
  <r>
    <s v="05:00:00"/>
    <n v="11"/>
    <n v="13"/>
    <s v="Feeders"/>
    <x v="2"/>
    <s v="APAP"/>
  </r>
  <r>
    <s v="08:00:00"/>
    <n v="17"/>
    <n v="13"/>
    <s v="Feeders"/>
    <x v="2"/>
    <s v="verify any stops"/>
  </r>
  <r>
    <s v="09:30:00"/>
    <n v="20"/>
    <n v="13"/>
    <s v="Feeders"/>
    <x v="2"/>
    <s v="verify any stops"/>
  </r>
  <r>
    <s v="10:00:00"/>
    <n v="21"/>
    <n v="13"/>
    <s v="Cleaning"/>
    <x v="8"/>
    <s v="Pit stop"/>
  </r>
  <r>
    <s v="10:30:00"/>
    <n v="22"/>
    <n v="13"/>
    <s v="Feeders"/>
    <x v="2"/>
    <s v="verify any stops"/>
  </r>
  <r>
    <s v="13:30:00"/>
    <n v="28"/>
    <n v="13"/>
    <s v="Electronic Communication"/>
    <x v="3"/>
    <s v="crosscarm PD5"/>
  </r>
  <r>
    <s v="15:00:00"/>
    <n v="31"/>
    <n v="13"/>
    <s v="Electronic Communication"/>
    <x v="3"/>
    <s v="Avicel PD1"/>
  </r>
  <r>
    <s v="16:30:00"/>
    <n v="34"/>
    <n v="13"/>
    <s v="Cleaning"/>
    <x v="8"/>
    <s v="Cleaning of feeders entering blender 1"/>
  </r>
  <r>
    <s v="16:30:00"/>
    <n v="34"/>
    <n v="13"/>
    <s v="Feeder"/>
    <x v="2"/>
    <s v="Rejection"/>
  </r>
  <r>
    <s v="17:30:00"/>
    <n v="36"/>
    <n v="13"/>
    <s v="Adjustment"/>
    <x v="6"/>
    <s v="NIR"/>
  </r>
  <r>
    <s v="17:30:00"/>
    <n v="36"/>
    <n v="13"/>
    <s v="RTD"/>
    <x v="0"/>
    <s v="Rejection"/>
  </r>
  <r>
    <s v="18:30:00"/>
    <n v="38"/>
    <n v="13"/>
    <s v="Electronic Communication"/>
    <x v="3"/>
    <s v="Lactose PD1"/>
  </r>
  <r>
    <s v="19:00:00"/>
    <n v="39"/>
    <n v="13"/>
    <s v="Electronic Communication"/>
    <x v="3"/>
    <s v="AcDiSol PD5"/>
  </r>
  <r>
    <s v="21:00:00"/>
    <n v="43"/>
    <n v="13"/>
    <s v="Cleaning"/>
    <x v="8"/>
    <s v="MgSt"/>
  </r>
  <r>
    <s v="21:00:00"/>
    <n v="43"/>
    <n v="13"/>
    <s v="Feeder"/>
    <x v="2"/>
    <s v="Mgst"/>
  </r>
  <r>
    <s v="23:30:00"/>
    <n v="48"/>
    <n v="13"/>
    <s v="Feeder"/>
    <x v="2"/>
    <s v="APAP"/>
  </r>
  <r>
    <s v="23:30:00"/>
    <n v="48"/>
    <n v="13"/>
    <s v="RTD"/>
    <x v="0"/>
    <s v="rejection"/>
  </r>
  <r>
    <s v="01:30:00"/>
    <n v="4"/>
    <n v="14"/>
    <s v="Compression"/>
    <x v="7"/>
    <s v="Tablet Press - Noticed that Tablet Chute actuator was getting hot +/- 57 °C (AG)"/>
  </r>
  <r>
    <s v="02:00:00"/>
    <n v="5"/>
    <n v="14"/>
    <s v="Feeding"/>
    <x v="2"/>
    <s v="Lactose Refill failing- 3 x Over the period of 20 min the lacotse refill was empty and material not getting into the feeder. This resulted in a few short stops, which the system automatically started again. Possible blinding of the top up level sensor, knocked the side of the hopper and then restarted the process(AT)"/>
  </r>
  <r>
    <s v="02:00:00"/>
    <n v="5"/>
    <n v="14"/>
    <s v="Compression"/>
    <x v="7"/>
    <s v="Punch Lubrication Status - Process paused to check status of punch lubrication. Blender 1 &amp; 2 inlet ports vacuumed during pause (AG)"/>
  </r>
  <r>
    <s v="03:30:00"/>
    <n v="8"/>
    <n v="14"/>
    <s v="Feeding"/>
    <x v="2"/>
    <s v="Avicel PD4 Communication error - Process stopped. Acknowledged and restarted (AG)"/>
  </r>
  <r>
    <s v="05:30:00"/>
    <n v="12"/>
    <n v="14"/>
    <s v="Feeding"/>
    <x v="2"/>
    <s v="Avicel PD4 Communication error - Process Paused. Acknowledged and restarted (AG)"/>
  </r>
  <r>
    <s v="06:30:00"/>
    <n v="14"/>
    <n v="14"/>
    <s v="Feeding"/>
    <x v="2"/>
    <s v="Avicel PD4 Communication error - Process Paused. Acknowledged and restarted (AG)"/>
  </r>
  <r>
    <s v="07:30:00"/>
    <n v="16"/>
    <n v="14"/>
    <s v="Feeding"/>
    <x v="2"/>
    <s v="HMI running too slow - System paused and restarted"/>
  </r>
  <r>
    <s v="07:30:00"/>
    <n v="16"/>
    <n v="14"/>
    <s v="Blending"/>
    <x v="9"/>
    <s v="HMI running too slow - System paused and restarted"/>
  </r>
  <r>
    <s v="07:30:00"/>
    <n v="16"/>
    <n v="14"/>
    <s v="Compression"/>
    <x v="7"/>
    <s v="HMI running too slow - System paused and restarted"/>
  </r>
  <r>
    <s v="08:00:00"/>
    <n v="17"/>
    <n v="14"/>
    <s v="Feeding"/>
    <x v="2"/>
    <s v="Increase throuhput - from 50 kg/hr to  55 kg/hr and press speed from 53 RPM to 58 RPM. Changes were made in manual as the system does not allow manual changes within a campaign."/>
  </r>
  <r>
    <s v="08:00:00"/>
    <n v="17"/>
    <n v="14"/>
    <s v="Blending"/>
    <x v="9"/>
    <s v="Increase throuhput - from 50 kg/hr to  55 kg/hr and press speed from 53 RPM to 58 RPM. Changes were made in manual as the system does not allow manual changes within a campaign."/>
  </r>
  <r>
    <s v="08:00:00"/>
    <n v="17"/>
    <n v="14"/>
    <s v="Compression"/>
    <x v="7"/>
    <s v="Increase throuhput - from 50 kg/hr to  55 kg/hr and press speed from 53 RPM to 58 RPM. Changes were made in manual as the system does not allow manual changes within a campaign."/>
  </r>
  <r>
    <s v="10:00:00"/>
    <n v="21"/>
    <n v="14"/>
    <s v="Feeding"/>
    <x v="2"/>
    <s v="Pit Stop - Vacuum feeder barrels, API bellows btwn top and feeder. (KM)"/>
  </r>
  <r>
    <s v="10:00:00"/>
    <n v="21"/>
    <n v="14"/>
    <s v="Compression"/>
    <x v="7"/>
    <s v="Pit Stop - Vacuum ECM"/>
  </r>
  <r>
    <s v="12:30:00"/>
    <n v="26"/>
    <n v="14"/>
    <s v="Feeding"/>
    <x v="2"/>
    <s v="Avicel PD4 Communication error - Process Stopped. Acknowledged and restarted (AG)"/>
  </r>
  <r>
    <s v="13:00:00"/>
    <n v="27"/>
    <n v="14"/>
    <s v="Feeding"/>
    <x v="2"/>
    <s v="Lactose PD2 Communication error - Process Stopped. Acknowledged and restarted (AG)"/>
  </r>
  <r>
    <s v="17:30:00"/>
    <n v="36"/>
    <n v="14"/>
    <s v="Feeding"/>
    <x v="2"/>
    <s v="Feeder manifold dedusting - Process Paused to clean the manifold into B1. Some bridging observed btwn PD3 &amp; PD4 (AT)"/>
  </r>
  <r>
    <s v="18:00:00"/>
    <n v="37"/>
    <n v="14"/>
    <s v="Feeding"/>
    <x v="2"/>
    <s v="Avicel PD4 Communication error - Process Stopped. Acknowledged and restarted (AT)_x000d__x000a_MgSt incompete refill- top up was full, but material was not filling the refill bucket. Knocking the side of the hopper promoted the materialto flow into the refill. (AT)"/>
  </r>
  <r>
    <s v="20:00:00"/>
    <n v="41"/>
    <n v="14"/>
    <s v="Feeding"/>
    <x v="2"/>
    <s v="Avicel Refill not complete - Top up seemed full but material was not being delivered to the feeder. (AT)"/>
  </r>
  <r>
    <s v="22:30:00"/>
    <n v="46"/>
    <n v="14"/>
    <s v="Feeding"/>
    <x v="2"/>
    <s v="Avicel PD4 Communication error - Process Stopped. Acknowledged and restarted (AT)"/>
  </r>
  <r>
    <s v="23:30:00"/>
    <n v="48"/>
    <n v="14"/>
    <s v="Feeding"/>
    <x v="2"/>
    <s v="Pit Stop - Vacuum B1 feeder manifold,  noticed PD1 had a disturbance due to material build up at outlet into B1 (AG)"/>
  </r>
  <r>
    <s v="02:00:00"/>
    <n v="5"/>
    <n v="14"/>
    <s v="Adjustment"/>
    <x v="6"/>
    <s v="Press check"/>
  </r>
  <r>
    <s v="03:30:00"/>
    <n v="8"/>
    <n v="14"/>
    <s v="Electronic Communication"/>
    <x v="3"/>
    <s v="Avicel PD4"/>
  </r>
  <r>
    <s v="05:30:00"/>
    <n v="12"/>
    <n v="14"/>
    <s v="Electronic Communication"/>
    <x v="3"/>
    <s v="Avicel PD4"/>
  </r>
  <r>
    <s v="06:30:00"/>
    <n v="14"/>
    <n v="14"/>
    <s v="Electronic Communication"/>
    <x v="3"/>
    <s v="Avicel PD4"/>
  </r>
  <r>
    <s v="07:30:00"/>
    <n v="16"/>
    <n v="14"/>
    <s v="Adjustment"/>
    <x v="6"/>
    <s v="HMI reset"/>
  </r>
  <r>
    <s v="10:00:00"/>
    <n v="21"/>
    <n v="14"/>
    <s v="Cleaning"/>
    <x v="8"/>
    <s v="Pit stop"/>
  </r>
  <r>
    <s v="12:30:00"/>
    <n v="26"/>
    <n v="14"/>
    <s v="Electronic Communication"/>
    <x v="3"/>
    <s v="Avicel PD4"/>
  </r>
  <r>
    <s v="13:00:00"/>
    <n v="27"/>
    <n v="14"/>
    <s v="Electronic Communication"/>
    <x v="3"/>
    <s v="Lactose PD2"/>
  </r>
  <r>
    <s v="17:30:00"/>
    <n v="36"/>
    <n v="14"/>
    <s v="Cleaning"/>
    <x v="8"/>
    <s v="Feeder outlets in blender 1 entrance"/>
  </r>
  <r>
    <s v="18:00:00"/>
    <n v="37"/>
    <n v="14"/>
    <s v="Electronic Communication"/>
    <x v="3"/>
    <s v="Avicel PD4"/>
  </r>
  <r>
    <s v="22:30:00"/>
    <n v="46"/>
    <n v="14"/>
    <s v="Electronic Communication"/>
    <x v="3"/>
    <s v="Avicel PD4"/>
  </r>
  <r>
    <s v="23:30:00"/>
    <n v="48"/>
    <n v="14"/>
    <s v="Cleaning"/>
    <x v="8"/>
    <s v="Pit stop (Feeder Manifold)"/>
  </r>
  <r>
    <s v="00:30:00"/>
    <n v="2"/>
    <n v="15"/>
    <s v="Feeding"/>
    <x v="2"/>
    <s v="Crosscarm PD5 Communication error - Process Stopped. Acknowledged and restarted (AT)"/>
  </r>
  <r>
    <s v="01:30:00"/>
    <n v="4"/>
    <n v="15"/>
    <s v="Feeding"/>
    <x v="2"/>
    <s v="Avicel PD4 Communication error - Process Stopped. Upon restart did not acknowledge the alarm and the system alarmed and stopped due to &quot;mass flow stabilization failure&quot;Acknowledged and restarted (AG)"/>
  </r>
  <r>
    <s v="02:00:00"/>
    <n v="5"/>
    <n v="15"/>
    <s v="Feeding"/>
    <x v="2"/>
    <s v="Avicel PD2 Communication error - Process Stopped. Acknowledged and restarted (AG)"/>
  </r>
  <r>
    <s v="03:30:00"/>
    <n v="8"/>
    <n v="15"/>
    <s v="Feeding"/>
    <x v="2"/>
    <s v="Pit Stop - Vacuum B1 &amp; B2 feeder Manifolds. (AG)"/>
  </r>
  <r>
    <s v="05:00:00"/>
    <n v="11"/>
    <n v="15"/>
    <s v="Feeding"/>
    <x v="2"/>
    <s v="Pit Stop - Vacuum B1 &amp; B2 feeder Manifolds. Prior to pit stop it was noticed that PD1 was showing disturbances. Pulled back feeder and saw there was no bridging, but powder beneath the feeder barren and the manifold. (AG)"/>
  </r>
  <r>
    <s v="06:00:00"/>
    <n v="13"/>
    <n v="15"/>
    <s v="Feeding"/>
    <x v="2"/>
    <s v="Crosscarm PD5 Communication error - Process Stopped. Acknowledged and restarted (AT)"/>
  </r>
  <r>
    <s v="06:30:00"/>
    <n v="14"/>
    <n v="15"/>
    <s v="Feeding"/>
    <x v="2"/>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Blending"/>
    <x v="9"/>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Compression"/>
    <x v="7"/>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RTD/PAT"/>
    <x v="0"/>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Quality"/>
    <x v="1"/>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10:00:00"/>
    <n v="21"/>
    <n v="15"/>
    <s v="Feeding"/>
    <x v="2"/>
    <s v="Pit Stop - Vacuum feeders (KM)"/>
  </r>
  <r>
    <s v="10:00:00"/>
    <n v="21"/>
    <n v="15"/>
    <s v="Compression"/>
    <x v="7"/>
    <s v="Pit Stop - Vacuum ECM"/>
  </r>
  <r>
    <s v="10:30:00"/>
    <n v="22"/>
    <n v="15"/>
    <s v="Feeding"/>
    <x v="2"/>
    <s v="New Lot of Avicel in PD4 (Lot 71732C)- Observed change step change of feed factor (PO)"/>
  </r>
  <r>
    <s v="11:30:00"/>
    <n v="24"/>
    <n v="15"/>
    <s v="Feeding"/>
    <x v="2"/>
    <s v="Crosscarm PD5 Communication error - Process Stopped. Acknowledged and restarted (PO)_x000d__x000a_Avicel PD4 Communication error - Process Stopped. Acknowledged and restarted-(KM) _x000d__x000a_NOTE:Copper connections changed to gold on the MSD system, so do not expect the same issues) (PO)"/>
  </r>
  <r>
    <s v="14:30:00"/>
    <n v="30"/>
    <n v="15"/>
    <s v="Feeding"/>
    <x v="2"/>
    <s v="Lactose PD2 Communication error - Process Stopped. Acknowledged and restarted (AT)"/>
  </r>
  <r>
    <s v="17:30:00"/>
    <n v="36"/>
    <n v="15"/>
    <s v="Feeding"/>
    <x v="2"/>
    <s v="PD3 Drift of screw speed and feed factor - Paused the process to clean the feeder manifold of B1. After restart, an accidental disturbance during cleaning resulted in  PD4 and PD5 thinking it was empty and refilled and overfilled. Process paused. Excess had tp be vacuumed. (AT)"/>
  </r>
  <r>
    <s v="18:00:00"/>
    <n v="37"/>
    <n v="15"/>
    <s v="RTD/PAT"/>
    <x v="0"/>
    <s v="RTD Spike after restart- Similar to previous Spike after restart, there is no evidence it is real and related to a software glitch (AT)"/>
  </r>
  <r>
    <s v="19:00:00"/>
    <n v="39"/>
    <n v="15"/>
    <s v="Feeding"/>
    <x v="2"/>
    <s v="Crosscarm PD5 Vacuum cycle time -Level sensor in the top up was not being triggered after a draw from the bulk, suggesting more material needed to be vacuumed to trigger the level sensor. Increased time to 45 seconds. (AT)"/>
  </r>
  <r>
    <s v="21:30:00"/>
    <n v="44"/>
    <n v="15"/>
    <s v="Feeding"/>
    <x v="2"/>
    <s v="PD3 Drift of screw speed and feed factor - Attempted to brush off material from end of feeder barrel without pausing. (AT)"/>
  </r>
  <r>
    <s v="22:30:00"/>
    <n v="46"/>
    <n v="15"/>
    <s v="Feeding"/>
    <x v="2"/>
    <s v="Avicel PD2 Communication error - Process Stopped. Acknowledged and restarted (AG)"/>
  </r>
  <r>
    <s v="00:30:00"/>
    <n v="2"/>
    <n v="15"/>
    <s v="Electronic Communication"/>
    <x v="3"/>
    <s v="Crosscarm PD5"/>
  </r>
  <r>
    <s v="01:30:00"/>
    <n v="4"/>
    <n v="15"/>
    <s v="Electronic Communication"/>
    <x v="3"/>
    <s v="Avicel PD4"/>
  </r>
  <r>
    <s v="02:00:00"/>
    <n v="5"/>
    <n v="15"/>
    <s v="Electronic Communication"/>
    <x v="3"/>
    <s v="Lactose PD2"/>
  </r>
  <r>
    <s v="03:30:00"/>
    <n v="8"/>
    <n v="15"/>
    <s v="Cleaning"/>
    <x v="8"/>
    <s v="Feeder manifolds"/>
  </r>
  <r>
    <s v="05:00:00"/>
    <n v="11"/>
    <n v="15"/>
    <s v="Cleaning"/>
    <x v="8"/>
    <s v="Feder Manifolds"/>
  </r>
  <r>
    <s v="06:00:00"/>
    <n v="13"/>
    <n v="15"/>
    <s v="Electronic Communication"/>
    <x v="3"/>
    <s v="Crosscarm PD5"/>
  </r>
  <r>
    <s v="10:00:00"/>
    <n v="21"/>
    <n v="15"/>
    <s v="Cleaning"/>
    <x v="8"/>
    <s v="Pit stop"/>
  </r>
  <r>
    <s v="10:30:00"/>
    <n v="22"/>
    <n v="15"/>
    <s v="Feeder"/>
    <x v="2"/>
    <s v="Avicel PD4"/>
  </r>
  <r>
    <s v="11:30:00"/>
    <n v="24"/>
    <n v="15"/>
    <s v="Electronic Communication"/>
    <x v="3"/>
    <s v="Avicel PD4 &amp; Crosscarm PD5"/>
  </r>
  <r>
    <s v="14:30:00"/>
    <n v="30"/>
    <n v="15"/>
    <s v="Electronic Communication"/>
    <x v="3"/>
    <s v="Lactose PD2"/>
  </r>
  <r>
    <s v="17:30:00"/>
    <n v="36"/>
    <n v="15"/>
    <s v="Cleaning"/>
    <x v="8"/>
    <s v="B1 Manifold"/>
  </r>
  <r>
    <s v="17:30:00"/>
    <n v="36"/>
    <n v="15"/>
    <s v="Feeder"/>
    <x v="2"/>
    <s v="APAP"/>
  </r>
  <r>
    <s v="21:30:00"/>
    <n v="44"/>
    <n v="15"/>
    <s v="Feeder"/>
    <x v="2"/>
    <s v="APAP Screwspeed"/>
  </r>
  <r>
    <s v="22:30:00"/>
    <n v="46"/>
    <n v="15"/>
    <s v="Electronic Communication"/>
    <x v="3"/>
    <s v="Avicel"/>
  </r>
  <r>
    <s v="00:00:00"/>
    <n v="1"/>
    <n v="16"/>
    <s v="Feeding"/>
    <x v="2"/>
    <s v="Pit Stop - Vacuum B1 &amp; B2 inlet port (AG)"/>
  </r>
  <r>
    <s v="00:30:00"/>
    <n v="2"/>
    <n v="16"/>
    <s v="Feeding"/>
    <x v="2"/>
    <s v="Feeder Overfilled- After pitstop feeder unstable massflow folowed the overfill. (AG)"/>
  </r>
  <r>
    <s v="00:30:00"/>
    <n v="2"/>
    <n v="16"/>
    <s v="Compression"/>
    <x v="7"/>
    <s v="Press not starting- Door sensor found loose and taped. Isssue resolved Process started (AG)"/>
  </r>
  <r>
    <s v="00:30:00"/>
    <n v="2"/>
    <n v="16"/>
    <s v="Quality"/>
    <x v="1"/>
    <s v="Blend Potency OOS- after resuming from pit stop OOS occurred. Same issue seen 2 oher instances. (AG)"/>
  </r>
  <r>
    <s v="07:00:00"/>
    <n v="15"/>
    <n v="16"/>
    <s v="Feeding"/>
    <x v="2"/>
    <s v="Avicel PD2 Communication error - Process Stopped. Acknowledged and restarted (PO)"/>
  </r>
  <r>
    <s v="07:00:00"/>
    <n v="15"/>
    <n v="16"/>
    <s v="Blending"/>
    <x v="9"/>
    <s v="Throughput change to 55 kg/hr"/>
  </r>
  <r>
    <s v="09:00:00"/>
    <n v="19"/>
    <n v="16"/>
    <s v="Compression"/>
    <x v="7"/>
    <s v="Compression Force Compensator - Read/Write difference. Happened 3 consecutive times. Manual change of setpoint fixed the issue. -issue resolved(KM)"/>
  </r>
  <r>
    <s v="10:00:00"/>
    <n v="21"/>
    <n v="16"/>
    <s v="Feeding"/>
    <x v="2"/>
    <s v="Pit Stop - Vacuum B1 &amp; B2 inlet port (AT)"/>
  </r>
  <r>
    <s v="10:00:00"/>
    <n v="21"/>
    <n v="16"/>
    <s v="Compression"/>
    <x v="7"/>
    <s v="Pit Stop - Vacuum the ECM (AT)"/>
  </r>
  <r>
    <s v="13:30:00"/>
    <n v="28"/>
    <n v="16"/>
    <s v="Feeding"/>
    <x v="2"/>
    <s v="Avicel PD4 Communication error - Process Stopped. Acknowledged and restarted (AT)"/>
  </r>
  <r>
    <s v="15:30:00"/>
    <n v="32"/>
    <n v="16"/>
    <s v="Feeding"/>
    <x v="2"/>
    <s v="Avicel PD2 Communication error - Process Stopped. Acknowledged and restarted (AT)"/>
  </r>
  <r>
    <s v="16:30:00"/>
    <n v="34"/>
    <n v="16"/>
    <s v="Feeding"/>
    <x v="2"/>
    <s v="Lactose Refill failing-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
  </r>
  <r>
    <s v="19:30:00"/>
    <n v="40"/>
    <n v="16"/>
    <s v="Feeding"/>
    <x v="2"/>
    <s v="Avicel PD1 Communication error - Process Stopped. Acknowledged and restarted (AT)"/>
  </r>
  <r>
    <s v="23:00:00"/>
    <n v="47"/>
    <n v="16"/>
    <s v="Feeding"/>
    <x v="2"/>
    <s v="Lactose PD2 Communication error - Process Stopped. Acknowledged and restarted (AG)"/>
  </r>
  <r>
    <s v="00:00:00"/>
    <n v="1"/>
    <n v="16"/>
    <s v="Cleaning"/>
    <x v="8"/>
    <s v="B1 &amp; B2"/>
  </r>
  <r>
    <s v="00:30:00"/>
    <n v="2"/>
    <n v="16"/>
    <s v="RTD"/>
    <x v="0"/>
    <s v="Drift after stop"/>
  </r>
  <r>
    <s v="07:00:00"/>
    <n v="15"/>
    <n v="16"/>
    <s v="Electronic Communication"/>
    <x v="3"/>
    <s v="Avcicel PD2"/>
  </r>
  <r>
    <s v="10:00:00"/>
    <n v="21"/>
    <n v="16"/>
    <s v="Cleaning"/>
    <x v="8"/>
    <s v="Pit Stop"/>
  </r>
  <r>
    <s v="13:30:00"/>
    <n v="28"/>
    <n v="16"/>
    <s v="Electronic Communication"/>
    <x v="3"/>
    <s v="Avcicel PD4"/>
  </r>
  <r>
    <s v="15:30:00"/>
    <n v="32"/>
    <n v="16"/>
    <s v="Electronic Communication"/>
    <x v="3"/>
    <s v="Avicel PD2 Communication error - Process Stopped. Acknowledged and restarted (AT)"/>
  </r>
  <r>
    <s v="16:30:00"/>
    <n v="34"/>
    <n v="16"/>
    <s v="Feeders"/>
    <x v="2"/>
    <s v="Lactose Refill Failure"/>
  </r>
  <r>
    <s v="19:30:00"/>
    <n v="40"/>
    <n v="16"/>
    <s v="Electronic Communication"/>
    <x v="3"/>
    <s v="Avicel PD1"/>
  </r>
  <r>
    <s v="23:00:00"/>
    <n v="47"/>
    <n v="16"/>
    <s v="Electronic Communication"/>
    <x v="3"/>
    <s v="Lactose PD 2"/>
  </r>
  <r>
    <s v="02:30:00"/>
    <n v="6"/>
    <n v="17"/>
    <s v="Feeding"/>
    <x v="2"/>
    <s v="Avicel PD4 Communication error - Process Stopped. Acknowledged and restarted (AG)"/>
  </r>
  <r>
    <s v="04:30:00"/>
    <n v="10"/>
    <n v="17"/>
    <s v="Feeding"/>
    <x v="2"/>
    <s v="Crosscarm PD5 Communication error - Process Stopped. Acknowledged and restarted (AG)"/>
  </r>
  <r>
    <s v="06:30:00"/>
    <n v="14"/>
    <n v="17"/>
    <s v="Feeding"/>
    <x v="2"/>
    <s v="Avicel PD4 Communication error - Process Stopped. Acknowledged and restarted (KM)_x000d__x000a_Crosscarm PD5 Communication error - Process Stopped. Acknowledged and restarted (KM)_x000d__x000a_"/>
  </r>
  <r>
    <s v="10:00:00"/>
    <n v="21"/>
    <n v="17"/>
    <s v="Feeding"/>
    <x v="2"/>
    <s v="Avicel PD2 Communication error - Process Stopped. Acknowledged and restarted (AG)"/>
  </r>
  <r>
    <s v="11:00:00"/>
    <n v="23"/>
    <n v="17"/>
    <s v="Feeding"/>
    <x v="2"/>
    <s v="Batch Complete"/>
  </r>
  <r>
    <s v="11:30:00"/>
    <n v="24"/>
    <n v="17"/>
    <s v="Feeding"/>
    <x v="2"/>
    <s v="LHP found to have Broken seal"/>
  </r>
  <r>
    <s v="02:30:00"/>
    <n v="6"/>
    <n v="17"/>
    <s v="Electronic Communication"/>
    <x v="3"/>
    <s v="Avicel PD4"/>
  </r>
  <r>
    <s v="04:30:00"/>
    <n v="10"/>
    <n v="17"/>
    <s v="Electronic Communication"/>
    <x v="3"/>
    <s v="Crosscarm PD5"/>
  </r>
  <r>
    <s v="06:30:00"/>
    <n v="14"/>
    <n v="17"/>
    <s v="Electronic Communication"/>
    <x v="3"/>
    <s v="Avicel  PD4/Crosscarm PD5"/>
  </r>
  <r>
    <s v="10:00:00"/>
    <n v="21"/>
    <n v="17"/>
    <s v="Electronic Communication"/>
    <x v="3"/>
    <s v="Avicel PD2"/>
  </r>
  <r>
    <m/>
    <m/>
    <m/>
    <m/>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773B44-2819-4ADA-A75F-CD5E4290F9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6">
    <pivotField dataField="1" showAll="0"/>
    <pivotField showAll="0"/>
    <pivotField showAll="0"/>
    <pivotField showAll="0"/>
    <pivotField axis="axisRow" showAll="0">
      <items count="12">
        <item x="6"/>
        <item x="9"/>
        <item x="8"/>
        <item x="7"/>
        <item x="3"/>
        <item x="2"/>
        <item x="4"/>
        <item x="1"/>
        <item x="0"/>
        <item x="5"/>
        <item h="1" x="10"/>
        <item t="default"/>
      </items>
    </pivotField>
    <pivotField showAll="0"/>
  </pivotFields>
  <rowFields count="1">
    <field x="4"/>
  </rowFields>
  <rowItems count="11">
    <i>
      <x/>
    </i>
    <i>
      <x v="1"/>
    </i>
    <i>
      <x v="2"/>
    </i>
    <i>
      <x v="3"/>
    </i>
    <i>
      <x v="4"/>
    </i>
    <i>
      <x v="5"/>
    </i>
    <i>
      <x v="6"/>
    </i>
    <i>
      <x v="7"/>
    </i>
    <i>
      <x v="8"/>
    </i>
    <i>
      <x v="9"/>
    </i>
    <i t="grand">
      <x/>
    </i>
  </rowItems>
  <colItems count="1">
    <i/>
  </colItems>
  <dataFields count="1">
    <dataField name="Count of Observations:" fld="0" subtotal="count" baseField="4" baseItem="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11D5CF-523A-4E98-B454-73918509F371}" name="Table5" displayName="Table5" ref="A3:F80" totalsRowShown="0">
  <autoFilter ref="A3:F80" xr:uid="{6B11D5CF-523A-4E98-B454-73918509F371}"/>
  <tableColumns count="6">
    <tableColumn id="1" xr3:uid="{6872B161-F004-4240-8876-A281E8B3B28F}" name="Observations:"/>
    <tableColumn id="2" xr3:uid="{6E159863-3124-4BFB-AEC6-8775472CA5B6}" name="Time Index"/>
    <tableColumn id="3" xr3:uid="{046B3770-ABDF-4A2A-800F-A527D37EC0E4}" name="Date"/>
    <tableColumn id="4" xr3:uid="{376FAD76-E103-4EBB-864B-31279154C7A4}" name="Operation"/>
    <tableColumn id="5" xr3:uid="{E4BD1738-5085-4874-AA6B-6523EFAFD7A8}" name="Group"/>
    <tableColumn id="6" xr3:uid="{EFD7288E-850C-4F8D-B2B9-7F7E1262562E}" name="note" dataDxfId="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900DC5-D54D-4001-9A4B-82FE40F0144F}" name="Table6" displayName="Table6" ref="A3:F32" totalsRowShown="0">
  <autoFilter ref="A3:F32" xr:uid="{74900DC5-D54D-4001-9A4B-82FE40F0144F}"/>
  <tableColumns count="6">
    <tableColumn id="1" xr3:uid="{268BA976-7484-46A2-98CC-5948DF7F9A76}" name="Observations:"/>
    <tableColumn id="2" xr3:uid="{A0F96F31-7682-4E02-A956-CC46CF6195D2}" name="Time Index"/>
    <tableColumn id="3" xr3:uid="{6C8F7BC3-4322-44DC-82E0-AD9BBA407200}" name="Date"/>
    <tableColumn id="4" xr3:uid="{1107CF69-FF50-466E-A7C1-B56BC6DEECDB}" name="Operation"/>
    <tableColumn id="5" xr3:uid="{B3B9C334-5B85-4394-B36C-4AD2CBE2C04B}" name="Group"/>
    <tableColumn id="6" xr3:uid="{9E830809-39BF-4399-B285-7B8A1AA3E1CE}" name="not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8"/>
  <sheetViews>
    <sheetView tabSelected="1" workbookViewId="0">
      <selection activeCell="F2" sqref="F2"/>
    </sheetView>
  </sheetViews>
  <sheetFormatPr defaultRowHeight="14.5" x14ac:dyDescent="0.35"/>
  <cols>
    <col min="1" max="1" width="17" bestFit="1" customWidth="1"/>
    <col min="2" max="2" width="14.54296875" bestFit="1" customWidth="1"/>
    <col min="3" max="3" width="9.36328125" bestFit="1" customWidth="1"/>
    <col min="4" max="4" width="22.81640625" bestFit="1" customWidth="1"/>
    <col min="5" max="5" width="22.81640625" style="11" bestFit="1" customWidth="1"/>
    <col min="6" max="6" width="43.26953125" style="2" customWidth="1"/>
    <col min="7" max="7" width="11.26953125" bestFit="1" customWidth="1"/>
    <col min="8" max="8" width="11.08984375" bestFit="1" customWidth="1"/>
  </cols>
  <sheetData>
    <row r="1" spans="1:8" s="1" customFormat="1" x14ac:dyDescent="0.35">
      <c r="A1" s="3" t="s">
        <v>0</v>
      </c>
      <c r="B1" s="3" t="s">
        <v>1</v>
      </c>
      <c r="C1" s="3" t="s">
        <v>2</v>
      </c>
      <c r="D1" s="3" t="s">
        <v>3</v>
      </c>
      <c r="E1" s="3" t="s">
        <v>191</v>
      </c>
      <c r="F1" s="4" t="s">
        <v>4</v>
      </c>
      <c r="G1" s="14" t="s">
        <v>200</v>
      </c>
      <c r="H1" s="14" t="s">
        <v>201</v>
      </c>
    </row>
    <row r="2" spans="1:8" ht="58" x14ac:dyDescent="0.35">
      <c r="A2" t="s">
        <v>5</v>
      </c>
      <c r="B2">
        <v>1</v>
      </c>
      <c r="C2">
        <v>12</v>
      </c>
      <c r="D2" s="11" t="s">
        <v>6</v>
      </c>
      <c r="E2" s="11" t="str">
        <f>INDEX('Group Reference Table'!$B$3:$B$17,MATCH('Failure Log'!D2,'Group Reference Table'!$A$3:$A$17,0))</f>
        <v>RTD/PAT</v>
      </c>
      <c r="F2" s="2" t="s">
        <v>7</v>
      </c>
      <c r="G2">
        <f>LEN(F2)</f>
        <v>164</v>
      </c>
      <c r="H2">
        <f>LEN(TRIM(F2))-LEN(SUBSTITUTE(TRIM(F2)," ",""))+1</f>
        <v>28</v>
      </c>
    </row>
    <row r="3" spans="1:8" ht="29" x14ac:dyDescent="0.35">
      <c r="A3" t="s">
        <v>5</v>
      </c>
      <c r="B3">
        <v>1</v>
      </c>
      <c r="C3">
        <v>12</v>
      </c>
      <c r="D3" s="11" t="s">
        <v>8</v>
      </c>
      <c r="E3" s="11" t="str">
        <f>INDEX('Group Reference Table'!$B$3:$B$17,MATCH('Failure Log'!D3,'Group Reference Table'!$A$3:$A$17,0))</f>
        <v>Quality</v>
      </c>
      <c r="F3" s="2" t="s">
        <v>9</v>
      </c>
      <c r="G3">
        <f t="shared" ref="G3:G66" si="0">LEN(F3)</f>
        <v>52</v>
      </c>
      <c r="H3">
        <f t="shared" ref="H3:H66" si="1">LEN(TRIM(F3))-LEN(SUBSTITUTE(TRIM(F3)," ",""))+1</f>
        <v>11</v>
      </c>
    </row>
    <row r="4" spans="1:8" ht="29" x14ac:dyDescent="0.35">
      <c r="A4" t="s">
        <v>10</v>
      </c>
      <c r="B4">
        <v>2</v>
      </c>
      <c r="C4">
        <v>12</v>
      </c>
      <c r="D4" s="11" t="s">
        <v>8</v>
      </c>
      <c r="E4" s="11" t="str">
        <f>INDEX('Group Reference Table'!$B$3:$B$17,MATCH('Failure Log'!D4,'Group Reference Table'!$A$3:$A$17,0))</f>
        <v>Quality</v>
      </c>
      <c r="F4" s="2" t="s">
        <v>11</v>
      </c>
      <c r="G4">
        <f t="shared" si="0"/>
        <v>81</v>
      </c>
      <c r="H4">
        <f t="shared" si="1"/>
        <v>15</v>
      </c>
    </row>
    <row r="5" spans="1:8" ht="43.5" x14ac:dyDescent="0.35">
      <c r="A5" t="s">
        <v>12</v>
      </c>
      <c r="B5">
        <v>4</v>
      </c>
      <c r="C5">
        <v>12</v>
      </c>
      <c r="D5" s="11" t="s">
        <v>13</v>
      </c>
      <c r="E5" s="11" t="str">
        <f>INDEX('Group Reference Table'!$B$3:$B$17,MATCH('Failure Log'!D5,'Group Reference Table'!$A$3:$A$17,0))</f>
        <v>Feeder/Feeding</v>
      </c>
      <c r="F5" s="2" t="s">
        <v>14</v>
      </c>
      <c r="G5">
        <f t="shared" si="0"/>
        <v>133</v>
      </c>
      <c r="H5">
        <f t="shared" si="1"/>
        <v>18</v>
      </c>
    </row>
    <row r="6" spans="1:8" ht="58" x14ac:dyDescent="0.35">
      <c r="A6" t="s">
        <v>15</v>
      </c>
      <c r="B6">
        <v>7</v>
      </c>
      <c r="C6">
        <v>12</v>
      </c>
      <c r="D6" s="11" t="s">
        <v>6</v>
      </c>
      <c r="E6" s="11" t="str">
        <f>INDEX('Group Reference Table'!$B$3:$B$17,MATCH('Failure Log'!D6,'Group Reference Table'!$A$3:$A$17,0))</f>
        <v>RTD/PAT</v>
      </c>
      <c r="F6" s="2" t="s">
        <v>16</v>
      </c>
      <c r="G6">
        <f t="shared" si="0"/>
        <v>160</v>
      </c>
      <c r="H6">
        <f t="shared" si="1"/>
        <v>27</v>
      </c>
    </row>
    <row r="7" spans="1:8" ht="58" x14ac:dyDescent="0.35">
      <c r="A7" t="s">
        <v>17</v>
      </c>
      <c r="B7">
        <v>9</v>
      </c>
      <c r="C7">
        <v>12</v>
      </c>
      <c r="D7" s="11" t="s">
        <v>6</v>
      </c>
      <c r="E7" s="11" t="str">
        <f>INDEX('Group Reference Table'!$B$3:$B$17,MATCH('Failure Log'!D7,'Group Reference Table'!$A$3:$A$17,0))</f>
        <v>RTD/PAT</v>
      </c>
      <c r="F7" s="2" t="s">
        <v>18</v>
      </c>
      <c r="G7">
        <f t="shared" si="0"/>
        <v>172</v>
      </c>
      <c r="H7">
        <f t="shared" si="1"/>
        <v>30</v>
      </c>
    </row>
    <row r="8" spans="1:8" ht="58" x14ac:dyDescent="0.35">
      <c r="A8" t="s">
        <v>19</v>
      </c>
      <c r="B8">
        <v>10</v>
      </c>
      <c r="C8">
        <v>12</v>
      </c>
      <c r="D8" s="11" t="s">
        <v>6</v>
      </c>
      <c r="E8" s="11" t="str">
        <f>INDEX('Group Reference Table'!$B$3:$B$17,MATCH('Failure Log'!D8,'Group Reference Table'!$A$3:$A$17,0))</f>
        <v>RTD/PAT</v>
      </c>
      <c r="F8" s="2" t="s">
        <v>20</v>
      </c>
      <c r="G8">
        <f t="shared" si="0"/>
        <v>170</v>
      </c>
      <c r="H8">
        <f t="shared" si="1"/>
        <v>30</v>
      </c>
    </row>
    <row r="9" spans="1:8" ht="72.5" x14ac:dyDescent="0.35">
      <c r="A9" t="s">
        <v>21</v>
      </c>
      <c r="B9">
        <v>11</v>
      </c>
      <c r="C9">
        <v>12</v>
      </c>
      <c r="D9" s="11" t="s">
        <v>13</v>
      </c>
      <c r="E9" s="11" t="str">
        <f>INDEX('Group Reference Table'!$B$3:$B$17,MATCH('Failure Log'!D9,'Group Reference Table'!$A$3:$A$17,0))</f>
        <v>Feeder/Feeding</v>
      </c>
      <c r="F9" s="2" t="s">
        <v>22</v>
      </c>
      <c r="G9">
        <f t="shared" si="0"/>
        <v>210</v>
      </c>
      <c r="H9">
        <f t="shared" si="1"/>
        <v>36</v>
      </c>
    </row>
    <row r="10" spans="1:8" ht="43.5" x14ac:dyDescent="0.35">
      <c r="A10" t="s">
        <v>23</v>
      </c>
      <c r="B10">
        <v>13</v>
      </c>
      <c r="C10">
        <v>12</v>
      </c>
      <c r="D10" s="11" t="s">
        <v>13</v>
      </c>
      <c r="E10" s="11" t="str">
        <f>INDEX('Group Reference Table'!$B$3:$B$17,MATCH('Failure Log'!D10,'Group Reference Table'!$A$3:$A$17,0))</f>
        <v>Feeder/Feeding</v>
      </c>
      <c r="F10" s="2" t="s">
        <v>24</v>
      </c>
      <c r="G10">
        <f t="shared" si="0"/>
        <v>134</v>
      </c>
      <c r="H10">
        <f t="shared" si="1"/>
        <v>18</v>
      </c>
    </row>
    <row r="11" spans="1:8" ht="43.5" x14ac:dyDescent="0.35">
      <c r="A11" t="s">
        <v>23</v>
      </c>
      <c r="B11">
        <v>13</v>
      </c>
      <c r="C11">
        <v>12</v>
      </c>
      <c r="D11" s="11" t="s">
        <v>6</v>
      </c>
      <c r="E11" s="11" t="str">
        <f>INDEX('Group Reference Table'!$B$3:$B$17,MATCH('Failure Log'!D11,'Group Reference Table'!$A$3:$A$17,0))</f>
        <v>RTD/PAT</v>
      </c>
      <c r="F11" s="2" t="s">
        <v>25</v>
      </c>
      <c r="G11">
        <f t="shared" si="0"/>
        <v>108</v>
      </c>
      <c r="H11">
        <f t="shared" si="1"/>
        <v>16</v>
      </c>
    </row>
    <row r="12" spans="1:8" ht="87" x14ac:dyDescent="0.35">
      <c r="A12" t="s">
        <v>26</v>
      </c>
      <c r="B12">
        <v>14</v>
      </c>
      <c r="C12">
        <v>12</v>
      </c>
      <c r="D12" s="11" t="s">
        <v>13</v>
      </c>
      <c r="E12" s="11" t="str">
        <f>INDEX('Group Reference Table'!$B$3:$B$17,MATCH('Failure Log'!D12,'Group Reference Table'!$A$3:$A$17,0))</f>
        <v>Feeder/Feeding</v>
      </c>
      <c r="F12" s="2" t="s">
        <v>27</v>
      </c>
      <c r="G12">
        <f t="shared" si="0"/>
        <v>289</v>
      </c>
      <c r="H12">
        <f t="shared" si="1"/>
        <v>48</v>
      </c>
    </row>
    <row r="13" spans="1:8" ht="58" x14ac:dyDescent="0.35">
      <c r="A13" t="s">
        <v>26</v>
      </c>
      <c r="B13">
        <v>14</v>
      </c>
      <c r="C13">
        <v>12</v>
      </c>
      <c r="D13" s="11" t="s">
        <v>6</v>
      </c>
      <c r="E13" s="11" t="str">
        <f>INDEX('Group Reference Table'!$B$3:$B$17,MATCH('Failure Log'!D13,'Group Reference Table'!$A$3:$A$17,0))</f>
        <v>RTD/PAT</v>
      </c>
      <c r="F13" s="2" t="s">
        <v>28</v>
      </c>
      <c r="G13">
        <f t="shared" si="0"/>
        <v>166</v>
      </c>
      <c r="H13">
        <f t="shared" si="1"/>
        <v>29</v>
      </c>
    </row>
    <row r="14" spans="1:8" ht="87" x14ac:dyDescent="0.35">
      <c r="A14" t="s">
        <v>26</v>
      </c>
      <c r="B14">
        <v>14</v>
      </c>
      <c r="C14">
        <v>12</v>
      </c>
      <c r="D14" s="11" t="s">
        <v>8</v>
      </c>
      <c r="E14" s="11" t="str">
        <f>INDEX('Group Reference Table'!$B$3:$B$17,MATCH('Failure Log'!D14,'Group Reference Table'!$A$3:$A$17,0))</f>
        <v>Quality</v>
      </c>
      <c r="F14" s="2" t="s">
        <v>29</v>
      </c>
      <c r="G14">
        <f t="shared" si="0"/>
        <v>256</v>
      </c>
      <c r="H14">
        <f t="shared" si="1"/>
        <v>40</v>
      </c>
    </row>
    <row r="15" spans="1:8" ht="72.5" x14ac:dyDescent="0.35">
      <c r="A15" t="s">
        <v>30</v>
      </c>
      <c r="B15">
        <v>15</v>
      </c>
      <c r="C15">
        <v>12</v>
      </c>
      <c r="D15" s="11" t="s">
        <v>13</v>
      </c>
      <c r="E15" s="11" t="str">
        <f>INDEX('Group Reference Table'!$B$3:$B$17,MATCH('Failure Log'!D15,'Group Reference Table'!$A$3:$A$17,0))</f>
        <v>Feeder/Feeding</v>
      </c>
      <c r="F15" s="2" t="s">
        <v>31</v>
      </c>
      <c r="G15">
        <f t="shared" si="0"/>
        <v>203</v>
      </c>
      <c r="H15">
        <f t="shared" si="1"/>
        <v>39</v>
      </c>
    </row>
    <row r="16" spans="1:8" ht="203" x14ac:dyDescent="0.35">
      <c r="A16" t="s">
        <v>32</v>
      </c>
      <c r="B16">
        <v>16</v>
      </c>
      <c r="C16">
        <v>12</v>
      </c>
      <c r="D16" s="11" t="s">
        <v>13</v>
      </c>
      <c r="E16" s="11" t="str">
        <f>INDEX('Group Reference Table'!$B$3:$B$17,MATCH('Failure Log'!D16,'Group Reference Table'!$A$3:$A$17,0))</f>
        <v>Feeder/Feeding</v>
      </c>
      <c r="F16" s="2" t="s">
        <v>33</v>
      </c>
      <c r="G16">
        <f t="shared" si="0"/>
        <v>624</v>
      </c>
      <c r="H16">
        <f t="shared" si="1"/>
        <v>108</v>
      </c>
    </row>
    <row r="17" spans="1:8" ht="130.5" x14ac:dyDescent="0.35">
      <c r="A17" t="s">
        <v>34</v>
      </c>
      <c r="B17">
        <v>22</v>
      </c>
      <c r="C17">
        <v>12</v>
      </c>
      <c r="D17" s="11" t="s">
        <v>13</v>
      </c>
      <c r="E17" s="11" t="str">
        <f>INDEX('Group Reference Table'!$B$3:$B$17,MATCH('Failure Log'!D17,'Group Reference Table'!$A$3:$A$17,0))</f>
        <v>Feeder/Feeding</v>
      </c>
      <c r="F17" s="2" t="s">
        <v>35</v>
      </c>
      <c r="G17">
        <f t="shared" si="0"/>
        <v>367</v>
      </c>
      <c r="H17">
        <f t="shared" si="1"/>
        <v>57</v>
      </c>
    </row>
    <row r="18" spans="1:8" ht="29" x14ac:dyDescent="0.35">
      <c r="A18" t="s">
        <v>34</v>
      </c>
      <c r="B18">
        <v>22</v>
      </c>
      <c r="C18">
        <v>12</v>
      </c>
      <c r="D18" s="11" t="s">
        <v>8</v>
      </c>
      <c r="E18" s="11" t="str">
        <f>INDEX('Group Reference Table'!$B$3:$B$17,MATCH('Failure Log'!D18,'Group Reference Table'!$A$3:$A$17,0))</f>
        <v>Quality</v>
      </c>
      <c r="F18" s="2" t="s">
        <v>36</v>
      </c>
      <c r="G18">
        <f t="shared" si="0"/>
        <v>56</v>
      </c>
      <c r="H18">
        <f t="shared" si="1"/>
        <v>10</v>
      </c>
    </row>
    <row r="19" spans="1:8" x14ac:dyDescent="0.35">
      <c r="A19" t="s">
        <v>37</v>
      </c>
      <c r="B19">
        <v>6</v>
      </c>
      <c r="C19">
        <v>12</v>
      </c>
      <c r="D19" s="11" t="s">
        <v>38</v>
      </c>
      <c r="E19" s="11" t="str">
        <f>INDEX('Group Reference Table'!$B$3:$B$17,MATCH('Failure Log'!D19,'Group Reference Table'!$A$3:$A$17,0))</f>
        <v>Electronic Communication</v>
      </c>
      <c r="F19" s="2" t="s">
        <v>39</v>
      </c>
      <c r="G19">
        <f t="shared" si="0"/>
        <v>6</v>
      </c>
      <c r="H19">
        <f t="shared" si="1"/>
        <v>1</v>
      </c>
    </row>
    <row r="20" spans="1:8" x14ac:dyDescent="0.35">
      <c r="A20" t="s">
        <v>17</v>
      </c>
      <c r="B20">
        <v>9</v>
      </c>
      <c r="C20">
        <v>12</v>
      </c>
      <c r="D20" s="11" t="s">
        <v>40</v>
      </c>
      <c r="E20" s="11" t="str">
        <f>INDEX('Group Reference Table'!$B$3:$B$17,MATCH('Failure Log'!D20,'Group Reference Table'!$A$3:$A$17,0))</f>
        <v>NIR</v>
      </c>
      <c r="F20" s="2" t="s">
        <v>41</v>
      </c>
      <c r="G20">
        <f t="shared" si="0"/>
        <v>5</v>
      </c>
      <c r="H20">
        <f t="shared" si="1"/>
        <v>1</v>
      </c>
    </row>
    <row r="21" spans="1:8" x14ac:dyDescent="0.35">
      <c r="A21" t="s">
        <v>21</v>
      </c>
      <c r="B21">
        <v>11</v>
      </c>
      <c r="C21">
        <v>12</v>
      </c>
      <c r="D21" s="11" t="s">
        <v>40</v>
      </c>
      <c r="E21" s="11" t="str">
        <f>INDEX('Group Reference Table'!$B$3:$B$17,MATCH('Failure Log'!D21,'Group Reference Table'!$A$3:$A$17,0))</f>
        <v>NIR</v>
      </c>
      <c r="F21" s="2" t="s">
        <v>41</v>
      </c>
      <c r="G21">
        <f t="shared" si="0"/>
        <v>5</v>
      </c>
      <c r="H21">
        <f t="shared" si="1"/>
        <v>1</v>
      </c>
    </row>
    <row r="22" spans="1:8" x14ac:dyDescent="0.35">
      <c r="A22" t="s">
        <v>23</v>
      </c>
      <c r="B22">
        <v>13</v>
      </c>
      <c r="C22">
        <v>12</v>
      </c>
      <c r="D22" s="11" t="s">
        <v>42</v>
      </c>
      <c r="E22" s="11" t="str">
        <f>INDEX('Group Reference Table'!$B$3:$B$17,MATCH('Failure Log'!D22,'Group Reference Table'!$A$3:$A$17,0))</f>
        <v>Feeder/Feeding</v>
      </c>
      <c r="F22" s="2" t="s">
        <v>43</v>
      </c>
      <c r="G22">
        <f t="shared" si="0"/>
        <v>15</v>
      </c>
      <c r="H22">
        <f t="shared" si="1"/>
        <v>3</v>
      </c>
    </row>
    <row r="23" spans="1:8" x14ac:dyDescent="0.35">
      <c r="A23" t="s">
        <v>30</v>
      </c>
      <c r="B23">
        <v>15</v>
      </c>
      <c r="C23">
        <v>12</v>
      </c>
      <c r="D23" s="11" t="s">
        <v>38</v>
      </c>
      <c r="E23" s="11" t="str">
        <f>INDEX('Group Reference Table'!$B$3:$B$17,MATCH('Failure Log'!D23,'Group Reference Table'!$A$3:$A$17,0))</f>
        <v>Electronic Communication</v>
      </c>
      <c r="F23" s="2" t="s">
        <v>44</v>
      </c>
      <c r="G23">
        <f t="shared" si="0"/>
        <v>10</v>
      </c>
      <c r="H23">
        <f t="shared" si="1"/>
        <v>2</v>
      </c>
    </row>
    <row r="24" spans="1:8" x14ac:dyDescent="0.35">
      <c r="A24" t="s">
        <v>32</v>
      </c>
      <c r="B24">
        <v>16</v>
      </c>
      <c r="C24">
        <v>12</v>
      </c>
      <c r="D24" s="11" t="s">
        <v>42</v>
      </c>
      <c r="E24" s="11" t="str">
        <f>INDEX('Group Reference Table'!$B$3:$B$17,MATCH('Failure Log'!D24,'Group Reference Table'!$A$3:$A$17,0))</f>
        <v>Feeder/Feeding</v>
      </c>
      <c r="F24" s="2" t="s">
        <v>45</v>
      </c>
      <c r="G24">
        <f t="shared" si="0"/>
        <v>23</v>
      </c>
      <c r="H24">
        <f t="shared" si="1"/>
        <v>5</v>
      </c>
    </row>
    <row r="25" spans="1:8" x14ac:dyDescent="0.35">
      <c r="A25" t="s">
        <v>32</v>
      </c>
      <c r="B25">
        <v>16</v>
      </c>
      <c r="C25">
        <v>12</v>
      </c>
      <c r="D25" s="11" t="s">
        <v>46</v>
      </c>
      <c r="E25" s="11" t="str">
        <f>INDEX('Group Reference Table'!$B$3:$B$17,MATCH('Failure Log'!D25,'Group Reference Table'!$A$3:$A$17,0))</f>
        <v>Tablets</v>
      </c>
      <c r="F25" s="2" t="s">
        <v>47</v>
      </c>
      <c r="G25">
        <f t="shared" si="0"/>
        <v>8</v>
      </c>
      <c r="H25">
        <f t="shared" si="1"/>
        <v>1</v>
      </c>
    </row>
    <row r="26" spans="1:8" x14ac:dyDescent="0.35">
      <c r="A26" t="s">
        <v>48</v>
      </c>
      <c r="B26">
        <v>18</v>
      </c>
      <c r="C26">
        <v>12</v>
      </c>
      <c r="D26" s="11" t="s">
        <v>49</v>
      </c>
      <c r="E26" s="11" t="str">
        <f>INDEX('Group Reference Table'!$B$3:$B$17,MATCH('Failure Log'!D26,'Group Reference Table'!$A$3:$A$17,0))</f>
        <v>Adjustment</v>
      </c>
      <c r="F26" s="2" t="s">
        <v>50</v>
      </c>
      <c r="G26">
        <f t="shared" si="0"/>
        <v>28</v>
      </c>
      <c r="H26">
        <f t="shared" si="1"/>
        <v>5</v>
      </c>
    </row>
    <row r="27" spans="1:8" x14ac:dyDescent="0.35">
      <c r="A27" t="s">
        <v>48</v>
      </c>
      <c r="B27">
        <v>18</v>
      </c>
      <c r="C27">
        <v>12</v>
      </c>
      <c r="D27" s="11" t="s">
        <v>51</v>
      </c>
      <c r="E27" s="11" t="str">
        <f>INDEX('Group Reference Table'!$B$3:$B$17,MATCH('Failure Log'!D27,'Group Reference Table'!$A$3:$A$17,0))</f>
        <v>Feeder/Feeding</v>
      </c>
      <c r="F27" s="2" t="s">
        <v>52</v>
      </c>
      <c r="G27">
        <f t="shared" si="0"/>
        <v>4</v>
      </c>
      <c r="H27">
        <f t="shared" si="1"/>
        <v>1</v>
      </c>
    </row>
    <row r="28" spans="1:8" x14ac:dyDescent="0.35">
      <c r="A28" t="s">
        <v>53</v>
      </c>
      <c r="B28">
        <v>24</v>
      </c>
      <c r="C28">
        <v>12</v>
      </c>
      <c r="D28" s="11" t="s">
        <v>54</v>
      </c>
      <c r="E28" s="11" t="str">
        <f>INDEX('Group Reference Table'!$B$3:$B$17,MATCH('Failure Log'!D28,'Group Reference Table'!$A$3:$A$17,0))</f>
        <v>RTD/PAT</v>
      </c>
      <c r="F28" s="2" t="s">
        <v>55</v>
      </c>
      <c r="G28">
        <f t="shared" si="0"/>
        <v>9</v>
      </c>
      <c r="H28">
        <f t="shared" si="1"/>
        <v>1</v>
      </c>
    </row>
    <row r="29" spans="1:8" ht="43.5" x14ac:dyDescent="0.35">
      <c r="A29" t="s">
        <v>56</v>
      </c>
      <c r="B29">
        <v>1</v>
      </c>
      <c r="C29">
        <v>13</v>
      </c>
      <c r="D29" s="11" t="s">
        <v>13</v>
      </c>
      <c r="E29" s="11" t="str">
        <f>INDEX('Group Reference Table'!$B$3:$B$17,MATCH('Failure Log'!D29,'Group Reference Table'!$A$3:$A$17,0))</f>
        <v>Feeder/Feeding</v>
      </c>
      <c r="F29" s="2" t="s">
        <v>57</v>
      </c>
      <c r="G29">
        <f t="shared" si="0"/>
        <v>114</v>
      </c>
      <c r="H29">
        <f t="shared" si="1"/>
        <v>17</v>
      </c>
    </row>
    <row r="30" spans="1:8" ht="101.5" x14ac:dyDescent="0.35">
      <c r="A30" t="s">
        <v>58</v>
      </c>
      <c r="B30">
        <v>5</v>
      </c>
      <c r="C30">
        <v>13</v>
      </c>
      <c r="D30" s="11" t="s">
        <v>6</v>
      </c>
      <c r="E30" s="11" t="str">
        <f>INDEX('Group Reference Table'!$B$3:$B$17,MATCH('Failure Log'!D30,'Group Reference Table'!$A$3:$A$17,0))</f>
        <v>RTD/PAT</v>
      </c>
      <c r="F30" s="2" t="s">
        <v>59</v>
      </c>
      <c r="G30">
        <f t="shared" si="0"/>
        <v>348</v>
      </c>
      <c r="H30">
        <f t="shared" si="1"/>
        <v>58</v>
      </c>
    </row>
    <row r="31" spans="1:8" ht="29" x14ac:dyDescent="0.35">
      <c r="A31" t="s">
        <v>58</v>
      </c>
      <c r="B31">
        <v>5</v>
      </c>
      <c r="C31">
        <v>13</v>
      </c>
      <c r="D31" s="11" t="s">
        <v>8</v>
      </c>
      <c r="E31" s="11" t="str">
        <f>INDEX('Group Reference Table'!$B$3:$B$17,MATCH('Failure Log'!D31,'Group Reference Table'!$A$3:$A$17,0))</f>
        <v>Quality</v>
      </c>
      <c r="F31" s="2" t="s">
        <v>60</v>
      </c>
      <c r="G31">
        <f t="shared" si="0"/>
        <v>67</v>
      </c>
      <c r="H31">
        <f t="shared" si="1"/>
        <v>11</v>
      </c>
    </row>
    <row r="32" spans="1:8" ht="101.5" x14ac:dyDescent="0.35">
      <c r="A32" t="s">
        <v>61</v>
      </c>
      <c r="B32">
        <v>7</v>
      </c>
      <c r="C32">
        <v>13</v>
      </c>
      <c r="D32" s="11" t="s">
        <v>6</v>
      </c>
      <c r="E32" s="11" t="str">
        <f>INDEX('Group Reference Table'!$B$3:$B$17,MATCH('Failure Log'!D32,'Group Reference Table'!$A$3:$A$17,0))</f>
        <v>RTD/PAT</v>
      </c>
      <c r="F32" s="2" t="s">
        <v>62</v>
      </c>
      <c r="G32">
        <f t="shared" si="0"/>
        <v>311</v>
      </c>
      <c r="H32">
        <f t="shared" si="1"/>
        <v>44</v>
      </c>
    </row>
    <row r="33" spans="1:8" ht="145" x14ac:dyDescent="0.35">
      <c r="A33" t="s">
        <v>63</v>
      </c>
      <c r="B33">
        <v>10</v>
      </c>
      <c r="C33">
        <v>13</v>
      </c>
      <c r="D33" s="11" t="s">
        <v>13</v>
      </c>
      <c r="E33" s="11" t="str">
        <f>INDEX('Group Reference Table'!$B$3:$B$17,MATCH('Failure Log'!D33,'Group Reference Table'!$A$3:$A$17,0))</f>
        <v>Feeder/Feeding</v>
      </c>
      <c r="F33" s="2" t="s">
        <v>64</v>
      </c>
      <c r="G33">
        <f t="shared" si="0"/>
        <v>445</v>
      </c>
      <c r="H33">
        <f t="shared" si="1"/>
        <v>80</v>
      </c>
    </row>
    <row r="34" spans="1:8" ht="43.5" x14ac:dyDescent="0.35">
      <c r="A34" t="s">
        <v>65</v>
      </c>
      <c r="B34">
        <v>11</v>
      </c>
      <c r="C34">
        <v>13</v>
      </c>
      <c r="D34" s="11" t="s">
        <v>13</v>
      </c>
      <c r="E34" s="11" t="str">
        <f>INDEX('Group Reference Table'!$B$3:$B$17,MATCH('Failure Log'!D34,'Group Reference Table'!$A$3:$A$17,0))</f>
        <v>Feeder/Feeding</v>
      </c>
      <c r="F34" s="2" t="s">
        <v>66</v>
      </c>
      <c r="G34">
        <f t="shared" si="0"/>
        <v>111</v>
      </c>
      <c r="H34">
        <f t="shared" si="1"/>
        <v>19</v>
      </c>
    </row>
    <row r="35" spans="1:8" ht="72.5" x14ac:dyDescent="0.35">
      <c r="A35" t="s">
        <v>67</v>
      </c>
      <c r="B35">
        <v>17</v>
      </c>
      <c r="C35">
        <v>13</v>
      </c>
      <c r="D35" s="11" t="s">
        <v>6</v>
      </c>
      <c r="E35" s="11" t="str">
        <f>INDEX('Group Reference Table'!$B$3:$B$17,MATCH('Failure Log'!D35,'Group Reference Table'!$A$3:$A$17,0))</f>
        <v>RTD/PAT</v>
      </c>
      <c r="F35" s="2" t="s">
        <v>68</v>
      </c>
      <c r="G35">
        <f t="shared" si="0"/>
        <v>204</v>
      </c>
      <c r="H35">
        <f t="shared" si="1"/>
        <v>34</v>
      </c>
    </row>
    <row r="36" spans="1:8" ht="58" x14ac:dyDescent="0.35">
      <c r="A36" t="s">
        <v>69</v>
      </c>
      <c r="B36">
        <v>20</v>
      </c>
      <c r="C36">
        <v>13</v>
      </c>
      <c r="D36" s="11" t="s">
        <v>6</v>
      </c>
      <c r="E36" s="11" t="str">
        <f>INDEX('Group Reference Table'!$B$3:$B$17,MATCH('Failure Log'!D36,'Group Reference Table'!$A$3:$A$17,0))</f>
        <v>RTD/PAT</v>
      </c>
      <c r="F36" s="2" t="s">
        <v>70</v>
      </c>
      <c r="G36">
        <f t="shared" si="0"/>
        <v>167</v>
      </c>
      <c r="H36">
        <f t="shared" si="1"/>
        <v>23</v>
      </c>
    </row>
    <row r="37" spans="1:8" ht="29" x14ac:dyDescent="0.35">
      <c r="A37" t="s">
        <v>12</v>
      </c>
      <c r="B37">
        <v>21</v>
      </c>
      <c r="C37">
        <v>13</v>
      </c>
      <c r="D37" s="11" t="s">
        <v>13</v>
      </c>
      <c r="E37" s="11" t="str">
        <f>INDEX('Group Reference Table'!$B$3:$B$17,MATCH('Failure Log'!D37,'Group Reference Table'!$A$3:$A$17,0))</f>
        <v>Feeder/Feeding</v>
      </c>
      <c r="F37" s="2" t="s">
        <v>71</v>
      </c>
      <c r="G37">
        <f t="shared" si="0"/>
        <v>65</v>
      </c>
      <c r="H37">
        <f t="shared" si="1"/>
        <v>10</v>
      </c>
    </row>
    <row r="38" spans="1:8" ht="58" x14ac:dyDescent="0.35">
      <c r="A38" t="s">
        <v>12</v>
      </c>
      <c r="B38">
        <v>21</v>
      </c>
      <c r="C38">
        <v>13</v>
      </c>
      <c r="D38" s="11" t="s">
        <v>72</v>
      </c>
      <c r="E38" s="11" t="str">
        <f>INDEX('Group Reference Table'!$B$3:$B$17,MATCH('Failure Log'!D38,'Group Reference Table'!$A$3:$A$17,0))</f>
        <v>Compression</v>
      </c>
      <c r="F38" s="2" t="s">
        <v>73</v>
      </c>
      <c r="G38">
        <f t="shared" si="0"/>
        <v>159</v>
      </c>
      <c r="H38">
        <f t="shared" si="1"/>
        <v>31</v>
      </c>
    </row>
    <row r="39" spans="1:8" ht="58" x14ac:dyDescent="0.35">
      <c r="A39" t="s">
        <v>74</v>
      </c>
      <c r="B39">
        <v>22</v>
      </c>
      <c r="C39">
        <v>13</v>
      </c>
      <c r="D39" s="11" t="s">
        <v>6</v>
      </c>
      <c r="E39" s="11" t="str">
        <f>INDEX('Group Reference Table'!$B$3:$B$17,MATCH('Failure Log'!D39,'Group Reference Table'!$A$3:$A$17,0))</f>
        <v>RTD/PAT</v>
      </c>
      <c r="F39" s="2" t="s">
        <v>75</v>
      </c>
      <c r="G39">
        <f t="shared" si="0"/>
        <v>201</v>
      </c>
      <c r="H39">
        <f t="shared" si="1"/>
        <v>30</v>
      </c>
    </row>
    <row r="40" spans="1:8" x14ac:dyDescent="0.35">
      <c r="A40" t="s">
        <v>19</v>
      </c>
      <c r="B40">
        <v>27</v>
      </c>
      <c r="C40">
        <v>13</v>
      </c>
      <c r="D40" s="11" t="s">
        <v>8</v>
      </c>
      <c r="E40" s="11" t="str">
        <f>INDEX('Group Reference Table'!$B$3:$B$17,MATCH('Failure Log'!D40,'Group Reference Table'!$A$3:$A$17,0))</f>
        <v>Quality</v>
      </c>
      <c r="F40" s="2" t="s">
        <v>76</v>
      </c>
      <c r="G40">
        <f t="shared" si="0"/>
        <v>15</v>
      </c>
      <c r="H40">
        <f t="shared" si="1"/>
        <v>3</v>
      </c>
    </row>
    <row r="41" spans="1:8" ht="43.5" x14ac:dyDescent="0.35">
      <c r="A41" t="s">
        <v>21</v>
      </c>
      <c r="B41">
        <v>28</v>
      </c>
      <c r="C41">
        <v>13</v>
      </c>
      <c r="D41" s="11" t="s">
        <v>13</v>
      </c>
      <c r="E41" s="11" t="str">
        <f>INDEX('Group Reference Table'!$B$3:$B$17,MATCH('Failure Log'!D41,'Group Reference Table'!$A$3:$A$17,0))</f>
        <v>Feeder/Feeding</v>
      </c>
      <c r="F41" s="2" t="s">
        <v>77</v>
      </c>
      <c r="G41">
        <f t="shared" si="0"/>
        <v>117</v>
      </c>
      <c r="H41">
        <f t="shared" si="1"/>
        <v>17</v>
      </c>
    </row>
    <row r="42" spans="1:8" ht="43.5" x14ac:dyDescent="0.35">
      <c r="A42" t="s">
        <v>26</v>
      </c>
      <c r="B42">
        <v>31</v>
      </c>
      <c r="C42">
        <v>13</v>
      </c>
      <c r="D42" s="11" t="s">
        <v>13</v>
      </c>
      <c r="E42" s="11" t="str">
        <f>INDEX('Group Reference Table'!$B$3:$B$17,MATCH('Failure Log'!D42,'Group Reference Table'!$A$3:$A$17,0))</f>
        <v>Feeder/Feeding</v>
      </c>
      <c r="F42" s="2" t="s">
        <v>78</v>
      </c>
      <c r="G42">
        <f t="shared" si="0"/>
        <v>114</v>
      </c>
      <c r="H42">
        <f t="shared" si="1"/>
        <v>17</v>
      </c>
    </row>
    <row r="43" spans="1:8" ht="58" x14ac:dyDescent="0.35">
      <c r="A43" t="s">
        <v>79</v>
      </c>
      <c r="B43">
        <v>34</v>
      </c>
      <c r="C43">
        <v>13</v>
      </c>
      <c r="D43" s="11" t="s">
        <v>13</v>
      </c>
      <c r="E43" s="11" t="str">
        <f>INDEX('Group Reference Table'!$B$3:$B$17,MATCH('Failure Log'!D43,'Group Reference Table'!$A$3:$A$17,0))</f>
        <v>Feeder/Feeding</v>
      </c>
      <c r="F43" s="2" t="s">
        <v>80</v>
      </c>
      <c r="G43">
        <f t="shared" si="0"/>
        <v>148</v>
      </c>
      <c r="H43">
        <f t="shared" si="1"/>
        <v>21</v>
      </c>
    </row>
    <row r="44" spans="1:8" ht="29" x14ac:dyDescent="0.35">
      <c r="A44" t="s">
        <v>79</v>
      </c>
      <c r="B44">
        <v>34</v>
      </c>
      <c r="C44">
        <v>13</v>
      </c>
      <c r="D44" s="11" t="s">
        <v>8</v>
      </c>
      <c r="E44" s="11" t="str">
        <f>INDEX('Group Reference Table'!$B$3:$B$17,MATCH('Failure Log'!D44,'Group Reference Table'!$A$3:$A$17,0))</f>
        <v>Quality</v>
      </c>
      <c r="F44" s="2" t="s">
        <v>81</v>
      </c>
      <c r="G44">
        <f t="shared" si="0"/>
        <v>78</v>
      </c>
      <c r="H44">
        <f t="shared" si="1"/>
        <v>13</v>
      </c>
    </row>
    <row r="45" spans="1:8" ht="116" x14ac:dyDescent="0.35">
      <c r="A45" t="s">
        <v>82</v>
      </c>
      <c r="B45">
        <v>36</v>
      </c>
      <c r="C45">
        <v>13</v>
      </c>
      <c r="D45" s="11" t="s">
        <v>6</v>
      </c>
      <c r="E45" s="11" t="str">
        <f>INDEX('Group Reference Table'!$B$3:$B$17,MATCH('Failure Log'!D45,'Group Reference Table'!$A$3:$A$17,0))</f>
        <v>RTD/PAT</v>
      </c>
      <c r="F45" s="2" t="s">
        <v>83</v>
      </c>
      <c r="G45">
        <f t="shared" si="0"/>
        <v>360</v>
      </c>
      <c r="H45">
        <f t="shared" si="1"/>
        <v>61</v>
      </c>
    </row>
    <row r="46" spans="1:8" ht="101.5" x14ac:dyDescent="0.35">
      <c r="A46" t="s">
        <v>82</v>
      </c>
      <c r="B46">
        <v>36</v>
      </c>
      <c r="C46">
        <v>13</v>
      </c>
      <c r="D46" s="11" t="s">
        <v>8</v>
      </c>
      <c r="E46" s="11" t="str">
        <f>INDEX('Group Reference Table'!$B$3:$B$17,MATCH('Failure Log'!D46,'Group Reference Table'!$A$3:$A$17,0))</f>
        <v>Quality</v>
      </c>
      <c r="F46" s="2" t="s">
        <v>84</v>
      </c>
      <c r="G46">
        <f t="shared" si="0"/>
        <v>290</v>
      </c>
      <c r="H46">
        <f t="shared" si="1"/>
        <v>47</v>
      </c>
    </row>
    <row r="47" spans="1:8" ht="43.5" x14ac:dyDescent="0.35">
      <c r="A47" t="s">
        <v>85</v>
      </c>
      <c r="B47">
        <v>38</v>
      </c>
      <c r="C47">
        <v>13</v>
      </c>
      <c r="D47" s="11" t="s">
        <v>13</v>
      </c>
      <c r="E47" s="11" t="str">
        <f>INDEX('Group Reference Table'!$B$3:$B$17,MATCH('Failure Log'!D47,'Group Reference Table'!$A$3:$A$17,0))</f>
        <v>Feeder/Feeding</v>
      </c>
      <c r="F47" s="2" t="s">
        <v>86</v>
      </c>
      <c r="G47">
        <f t="shared" si="0"/>
        <v>115</v>
      </c>
      <c r="H47">
        <f t="shared" si="1"/>
        <v>17</v>
      </c>
    </row>
    <row r="48" spans="1:8" ht="72.5" x14ac:dyDescent="0.35">
      <c r="A48" t="s">
        <v>34</v>
      </c>
      <c r="B48">
        <v>39</v>
      </c>
      <c r="C48">
        <v>13</v>
      </c>
      <c r="D48" s="11" t="s">
        <v>13</v>
      </c>
      <c r="E48" s="11" t="str">
        <f>INDEX('Group Reference Table'!$B$3:$B$17,MATCH('Failure Log'!D48,'Group Reference Table'!$A$3:$A$17,0))</f>
        <v>Feeder/Feeding</v>
      </c>
      <c r="F48" s="2" t="s">
        <v>87</v>
      </c>
      <c r="G48">
        <f t="shared" si="0"/>
        <v>196</v>
      </c>
      <c r="H48">
        <f t="shared" si="1"/>
        <v>34</v>
      </c>
    </row>
    <row r="49" spans="1:8" ht="87" x14ac:dyDescent="0.35">
      <c r="A49" t="s">
        <v>88</v>
      </c>
      <c r="B49">
        <v>43</v>
      </c>
      <c r="C49">
        <v>13</v>
      </c>
      <c r="D49" s="11" t="s">
        <v>13</v>
      </c>
      <c r="E49" s="11" t="str">
        <f>INDEX('Group Reference Table'!$B$3:$B$17,MATCH('Failure Log'!D49,'Group Reference Table'!$A$3:$A$17,0))</f>
        <v>Feeder/Feeding</v>
      </c>
      <c r="F49" s="2" t="s">
        <v>89</v>
      </c>
      <c r="G49">
        <f t="shared" si="0"/>
        <v>248</v>
      </c>
      <c r="H49">
        <f t="shared" si="1"/>
        <v>37</v>
      </c>
    </row>
    <row r="50" spans="1:8" ht="58" x14ac:dyDescent="0.35">
      <c r="A50" t="s">
        <v>90</v>
      </c>
      <c r="B50">
        <v>48</v>
      </c>
      <c r="C50">
        <v>13</v>
      </c>
      <c r="D50" s="11" t="s">
        <v>13</v>
      </c>
      <c r="E50" s="11" t="str">
        <f>INDEX('Group Reference Table'!$B$3:$B$17,MATCH('Failure Log'!D50,'Group Reference Table'!$A$3:$A$17,0))</f>
        <v>Feeder/Feeding</v>
      </c>
      <c r="F50" s="2" t="s">
        <v>91</v>
      </c>
      <c r="G50">
        <f t="shared" si="0"/>
        <v>171</v>
      </c>
      <c r="H50">
        <f t="shared" si="1"/>
        <v>27</v>
      </c>
    </row>
    <row r="51" spans="1:8" ht="29" x14ac:dyDescent="0.35">
      <c r="A51" t="s">
        <v>90</v>
      </c>
      <c r="B51">
        <v>48</v>
      </c>
      <c r="C51">
        <v>13</v>
      </c>
      <c r="D51" s="11" t="s">
        <v>8</v>
      </c>
      <c r="E51" s="11" t="str">
        <f>INDEX('Group Reference Table'!$B$3:$B$17,MATCH('Failure Log'!D51,'Group Reference Table'!$A$3:$A$17,0))</f>
        <v>Quality</v>
      </c>
      <c r="F51" s="2" t="s">
        <v>92</v>
      </c>
      <c r="G51">
        <f t="shared" si="0"/>
        <v>71</v>
      </c>
      <c r="H51">
        <f t="shared" si="1"/>
        <v>10</v>
      </c>
    </row>
    <row r="52" spans="1:8" x14ac:dyDescent="0.35">
      <c r="A52" t="s">
        <v>56</v>
      </c>
      <c r="B52">
        <v>1</v>
      </c>
      <c r="C52">
        <v>13</v>
      </c>
      <c r="D52" s="11" t="s">
        <v>93</v>
      </c>
      <c r="E52" s="11" t="str">
        <f>INDEX('Group Reference Table'!$B$3:$B$17,MATCH('Failure Log'!D52,'Group Reference Table'!$A$3:$A$17,0))</f>
        <v>Cleaning</v>
      </c>
      <c r="F52" s="2" t="s">
        <v>94</v>
      </c>
      <c r="G52">
        <f t="shared" si="0"/>
        <v>36</v>
      </c>
      <c r="H52">
        <f t="shared" si="1"/>
        <v>6</v>
      </c>
    </row>
    <row r="53" spans="1:8" x14ac:dyDescent="0.35">
      <c r="A53" t="s">
        <v>58</v>
      </c>
      <c r="B53">
        <v>5</v>
      </c>
      <c r="C53">
        <v>13</v>
      </c>
      <c r="D53" s="11" t="s">
        <v>95</v>
      </c>
      <c r="E53" s="11" t="str">
        <f>INDEX('Group Reference Table'!$B$3:$B$17,MATCH('Failure Log'!D53,'Group Reference Table'!$A$3:$A$17,0))</f>
        <v>RTD/PAT</v>
      </c>
      <c r="F53" s="2" t="s">
        <v>96</v>
      </c>
      <c r="G53">
        <f t="shared" si="0"/>
        <v>16</v>
      </c>
      <c r="H53">
        <f t="shared" si="1"/>
        <v>3</v>
      </c>
    </row>
    <row r="54" spans="1:8" x14ac:dyDescent="0.35">
      <c r="A54" t="s">
        <v>61</v>
      </c>
      <c r="B54">
        <v>7</v>
      </c>
      <c r="C54">
        <v>13</v>
      </c>
      <c r="D54" s="11" t="s">
        <v>95</v>
      </c>
      <c r="E54" s="11" t="str">
        <f>INDEX('Group Reference Table'!$B$3:$B$17,MATCH('Failure Log'!D54,'Group Reference Table'!$A$3:$A$17,0))</f>
        <v>RTD/PAT</v>
      </c>
      <c r="F54" s="2" t="s">
        <v>96</v>
      </c>
      <c r="G54">
        <f t="shared" si="0"/>
        <v>16</v>
      </c>
      <c r="H54">
        <f t="shared" si="1"/>
        <v>3</v>
      </c>
    </row>
    <row r="55" spans="1:8" x14ac:dyDescent="0.35">
      <c r="A55" t="s">
        <v>63</v>
      </c>
      <c r="B55">
        <v>10</v>
      </c>
      <c r="C55">
        <v>13</v>
      </c>
      <c r="D55" s="11" t="s">
        <v>42</v>
      </c>
      <c r="E55" s="11" t="str">
        <f>INDEX('Group Reference Table'!$B$3:$B$17,MATCH('Failure Log'!D55,'Group Reference Table'!$A$3:$A$17,0))</f>
        <v>Feeder/Feeding</v>
      </c>
      <c r="F55" s="2" t="s">
        <v>52</v>
      </c>
      <c r="G55">
        <f t="shared" si="0"/>
        <v>4</v>
      </c>
      <c r="H55">
        <f t="shared" si="1"/>
        <v>1</v>
      </c>
    </row>
    <row r="56" spans="1:8" x14ac:dyDescent="0.35">
      <c r="A56" t="s">
        <v>65</v>
      </c>
      <c r="B56">
        <v>11</v>
      </c>
      <c r="C56">
        <v>13</v>
      </c>
      <c r="D56" s="11" t="s">
        <v>49</v>
      </c>
      <c r="E56" s="11" t="str">
        <f>INDEX('Group Reference Table'!$B$3:$B$17,MATCH('Failure Log'!D56,'Group Reference Table'!$A$3:$A$17,0))</f>
        <v>Adjustment</v>
      </c>
      <c r="F56" s="2" t="s">
        <v>97</v>
      </c>
      <c r="G56">
        <f t="shared" si="0"/>
        <v>21</v>
      </c>
      <c r="H56">
        <f t="shared" si="1"/>
        <v>4</v>
      </c>
    </row>
    <row r="57" spans="1:8" x14ac:dyDescent="0.35">
      <c r="A57" t="s">
        <v>65</v>
      </c>
      <c r="B57">
        <v>11</v>
      </c>
      <c r="C57">
        <v>13</v>
      </c>
      <c r="D57" s="11" t="s">
        <v>42</v>
      </c>
      <c r="E57" s="11" t="str">
        <f>INDEX('Group Reference Table'!$B$3:$B$17,MATCH('Failure Log'!D57,'Group Reference Table'!$A$3:$A$17,0))</f>
        <v>Feeder/Feeding</v>
      </c>
      <c r="F57" s="2" t="s">
        <v>52</v>
      </c>
      <c r="G57">
        <f t="shared" si="0"/>
        <v>4</v>
      </c>
      <c r="H57">
        <f t="shared" si="1"/>
        <v>1</v>
      </c>
    </row>
    <row r="58" spans="1:8" x14ac:dyDescent="0.35">
      <c r="A58" t="s">
        <v>67</v>
      </c>
      <c r="B58">
        <v>17</v>
      </c>
      <c r="C58">
        <v>13</v>
      </c>
      <c r="D58" s="11" t="s">
        <v>42</v>
      </c>
      <c r="E58" s="11" t="str">
        <f>INDEX('Group Reference Table'!$B$3:$B$17,MATCH('Failure Log'!D58,'Group Reference Table'!$A$3:$A$17,0))</f>
        <v>Feeder/Feeding</v>
      </c>
      <c r="F58" s="2" t="s">
        <v>98</v>
      </c>
      <c r="G58">
        <f t="shared" si="0"/>
        <v>16</v>
      </c>
      <c r="H58">
        <f t="shared" si="1"/>
        <v>3</v>
      </c>
    </row>
    <row r="59" spans="1:8" x14ac:dyDescent="0.35">
      <c r="A59" t="s">
        <v>69</v>
      </c>
      <c r="B59">
        <v>20</v>
      </c>
      <c r="C59">
        <v>13</v>
      </c>
      <c r="D59" s="11" t="s">
        <v>42</v>
      </c>
      <c r="E59" s="11" t="str">
        <f>INDEX('Group Reference Table'!$B$3:$B$17,MATCH('Failure Log'!D59,'Group Reference Table'!$A$3:$A$17,0))</f>
        <v>Feeder/Feeding</v>
      </c>
      <c r="F59" s="2" t="s">
        <v>98</v>
      </c>
      <c r="G59">
        <f t="shared" si="0"/>
        <v>16</v>
      </c>
      <c r="H59">
        <f t="shared" si="1"/>
        <v>3</v>
      </c>
    </row>
    <row r="60" spans="1:8" x14ac:dyDescent="0.35">
      <c r="A60" t="s">
        <v>12</v>
      </c>
      <c r="B60">
        <v>21</v>
      </c>
      <c r="C60">
        <v>13</v>
      </c>
      <c r="D60" s="11" t="s">
        <v>93</v>
      </c>
      <c r="E60" s="11" t="str">
        <f>INDEX('Group Reference Table'!$B$3:$B$17,MATCH('Failure Log'!D60,'Group Reference Table'!$A$3:$A$17,0))</f>
        <v>Cleaning</v>
      </c>
      <c r="F60" s="2" t="s">
        <v>99</v>
      </c>
      <c r="G60">
        <f t="shared" si="0"/>
        <v>8</v>
      </c>
      <c r="H60">
        <f t="shared" si="1"/>
        <v>2</v>
      </c>
    </row>
    <row r="61" spans="1:8" x14ac:dyDescent="0.35">
      <c r="A61" t="s">
        <v>74</v>
      </c>
      <c r="B61">
        <v>22</v>
      </c>
      <c r="C61">
        <v>13</v>
      </c>
      <c r="D61" s="11" t="s">
        <v>42</v>
      </c>
      <c r="E61" s="11" t="str">
        <f>INDEX('Group Reference Table'!$B$3:$B$17,MATCH('Failure Log'!D61,'Group Reference Table'!$A$3:$A$17,0))</f>
        <v>Feeder/Feeding</v>
      </c>
      <c r="F61" s="2" t="s">
        <v>98</v>
      </c>
      <c r="G61">
        <f t="shared" si="0"/>
        <v>16</v>
      </c>
      <c r="H61">
        <f t="shared" si="1"/>
        <v>3</v>
      </c>
    </row>
    <row r="62" spans="1:8" x14ac:dyDescent="0.35">
      <c r="A62" t="s">
        <v>21</v>
      </c>
      <c r="B62">
        <v>28</v>
      </c>
      <c r="C62">
        <v>13</v>
      </c>
      <c r="D62" s="11" t="s">
        <v>38</v>
      </c>
      <c r="E62" s="11" t="str">
        <f>INDEX('Group Reference Table'!$B$3:$B$17,MATCH('Failure Log'!D62,'Group Reference Table'!$A$3:$A$17,0))</f>
        <v>Electronic Communication</v>
      </c>
      <c r="F62" s="2" t="s">
        <v>100</v>
      </c>
      <c r="G62">
        <f t="shared" si="0"/>
        <v>13</v>
      </c>
      <c r="H62">
        <f t="shared" si="1"/>
        <v>2</v>
      </c>
    </row>
    <row r="63" spans="1:8" x14ac:dyDescent="0.35">
      <c r="A63" t="s">
        <v>26</v>
      </c>
      <c r="B63">
        <v>31</v>
      </c>
      <c r="C63">
        <v>13</v>
      </c>
      <c r="D63" s="11" t="s">
        <v>38</v>
      </c>
      <c r="E63" s="11" t="str">
        <f>INDEX('Group Reference Table'!$B$3:$B$17,MATCH('Failure Log'!D63,'Group Reference Table'!$A$3:$A$17,0))</f>
        <v>Electronic Communication</v>
      </c>
      <c r="F63" s="2" t="s">
        <v>101</v>
      </c>
      <c r="G63">
        <f t="shared" si="0"/>
        <v>10</v>
      </c>
      <c r="H63">
        <f t="shared" si="1"/>
        <v>2</v>
      </c>
    </row>
    <row r="64" spans="1:8" x14ac:dyDescent="0.35">
      <c r="A64" t="s">
        <v>79</v>
      </c>
      <c r="B64">
        <v>34</v>
      </c>
      <c r="C64">
        <v>13</v>
      </c>
      <c r="D64" s="11" t="s">
        <v>93</v>
      </c>
      <c r="E64" s="11" t="str">
        <f>INDEX('Group Reference Table'!$B$3:$B$17,MATCH('Failure Log'!D64,'Group Reference Table'!$A$3:$A$17,0))</f>
        <v>Cleaning</v>
      </c>
      <c r="F64" s="2" t="s">
        <v>102</v>
      </c>
      <c r="G64">
        <f t="shared" si="0"/>
        <v>38</v>
      </c>
      <c r="H64">
        <f t="shared" si="1"/>
        <v>6</v>
      </c>
    </row>
    <row r="65" spans="1:8" x14ac:dyDescent="0.35">
      <c r="A65" t="s">
        <v>79</v>
      </c>
      <c r="B65">
        <v>34</v>
      </c>
      <c r="C65">
        <v>13</v>
      </c>
      <c r="D65" s="11" t="s">
        <v>51</v>
      </c>
      <c r="E65" s="11" t="str">
        <f>INDEX('Group Reference Table'!$B$3:$B$17,MATCH('Failure Log'!D65,'Group Reference Table'!$A$3:$A$17,0))</f>
        <v>Feeder/Feeding</v>
      </c>
      <c r="F65" s="2" t="s">
        <v>103</v>
      </c>
      <c r="G65">
        <f t="shared" si="0"/>
        <v>9</v>
      </c>
      <c r="H65">
        <f t="shared" si="1"/>
        <v>1</v>
      </c>
    </row>
    <row r="66" spans="1:8" x14ac:dyDescent="0.35">
      <c r="A66" t="s">
        <v>82</v>
      </c>
      <c r="B66">
        <v>36</v>
      </c>
      <c r="C66">
        <v>13</v>
      </c>
      <c r="D66" s="11" t="s">
        <v>49</v>
      </c>
      <c r="E66" s="11" t="str">
        <f>INDEX('Group Reference Table'!$B$3:$B$17,MATCH('Failure Log'!D66,'Group Reference Table'!$A$3:$A$17,0))</f>
        <v>Adjustment</v>
      </c>
      <c r="F66" s="2" t="s">
        <v>40</v>
      </c>
      <c r="G66">
        <f t="shared" si="0"/>
        <v>3</v>
      </c>
      <c r="H66">
        <f t="shared" si="1"/>
        <v>1</v>
      </c>
    </row>
    <row r="67" spans="1:8" x14ac:dyDescent="0.35">
      <c r="A67" t="s">
        <v>82</v>
      </c>
      <c r="B67">
        <v>36</v>
      </c>
      <c r="C67">
        <v>13</v>
      </c>
      <c r="D67" s="11" t="s">
        <v>54</v>
      </c>
      <c r="E67" s="11" t="str">
        <f>INDEX('Group Reference Table'!$B$3:$B$17,MATCH('Failure Log'!D67,'Group Reference Table'!$A$3:$A$17,0))</f>
        <v>RTD/PAT</v>
      </c>
      <c r="F67" s="2" t="s">
        <v>103</v>
      </c>
      <c r="G67">
        <f t="shared" ref="G67:G130" si="2">LEN(F67)</f>
        <v>9</v>
      </c>
      <c r="H67">
        <f t="shared" ref="H67:H130" si="3">LEN(TRIM(F67))-LEN(SUBSTITUTE(TRIM(F67)," ",""))+1</f>
        <v>1</v>
      </c>
    </row>
    <row r="68" spans="1:8" x14ac:dyDescent="0.35">
      <c r="A68" t="s">
        <v>85</v>
      </c>
      <c r="B68">
        <v>38</v>
      </c>
      <c r="C68">
        <v>13</v>
      </c>
      <c r="D68" s="11" t="s">
        <v>38</v>
      </c>
      <c r="E68" s="11" t="str">
        <f>INDEX('Group Reference Table'!$B$3:$B$17,MATCH('Failure Log'!D68,'Group Reference Table'!$A$3:$A$17,0))</f>
        <v>Electronic Communication</v>
      </c>
      <c r="F68" s="2" t="s">
        <v>104</v>
      </c>
      <c r="G68">
        <f t="shared" si="2"/>
        <v>11</v>
      </c>
      <c r="H68">
        <f t="shared" si="3"/>
        <v>2</v>
      </c>
    </row>
    <row r="69" spans="1:8" x14ac:dyDescent="0.35">
      <c r="A69" t="s">
        <v>34</v>
      </c>
      <c r="B69">
        <v>39</v>
      </c>
      <c r="C69">
        <v>13</v>
      </c>
      <c r="D69" s="11" t="s">
        <v>38</v>
      </c>
      <c r="E69" s="11" t="str">
        <f>INDEX('Group Reference Table'!$B$3:$B$17,MATCH('Failure Log'!D69,'Group Reference Table'!$A$3:$A$17,0))</f>
        <v>Electronic Communication</v>
      </c>
      <c r="F69" s="2" t="s">
        <v>105</v>
      </c>
      <c r="G69">
        <f t="shared" si="2"/>
        <v>11</v>
      </c>
      <c r="H69">
        <f t="shared" si="3"/>
        <v>2</v>
      </c>
    </row>
    <row r="70" spans="1:8" x14ac:dyDescent="0.35">
      <c r="A70" t="s">
        <v>88</v>
      </c>
      <c r="B70">
        <v>43</v>
      </c>
      <c r="C70">
        <v>13</v>
      </c>
      <c r="D70" s="11" t="s">
        <v>93</v>
      </c>
      <c r="E70" s="11" t="str">
        <f>INDEX('Group Reference Table'!$B$3:$B$17,MATCH('Failure Log'!D70,'Group Reference Table'!$A$3:$A$17,0))</f>
        <v>Cleaning</v>
      </c>
      <c r="F70" s="2" t="s">
        <v>106</v>
      </c>
      <c r="G70">
        <f t="shared" si="2"/>
        <v>4</v>
      </c>
      <c r="H70">
        <f t="shared" si="3"/>
        <v>1</v>
      </c>
    </row>
    <row r="71" spans="1:8" x14ac:dyDescent="0.35">
      <c r="A71" t="s">
        <v>88</v>
      </c>
      <c r="B71">
        <v>43</v>
      </c>
      <c r="C71">
        <v>13</v>
      </c>
      <c r="D71" s="11" t="s">
        <v>51</v>
      </c>
      <c r="E71" s="11" t="str">
        <f>INDEX('Group Reference Table'!$B$3:$B$17,MATCH('Failure Log'!D71,'Group Reference Table'!$A$3:$A$17,0))</f>
        <v>Feeder/Feeding</v>
      </c>
      <c r="F71" s="2" t="s">
        <v>107</v>
      </c>
      <c r="G71">
        <f t="shared" si="2"/>
        <v>4</v>
      </c>
      <c r="H71">
        <f t="shared" si="3"/>
        <v>1</v>
      </c>
    </row>
    <row r="72" spans="1:8" x14ac:dyDescent="0.35">
      <c r="A72" t="s">
        <v>90</v>
      </c>
      <c r="B72">
        <v>48</v>
      </c>
      <c r="C72">
        <v>13</v>
      </c>
      <c r="D72" s="11" t="s">
        <v>51</v>
      </c>
      <c r="E72" s="11" t="str">
        <f>INDEX('Group Reference Table'!$B$3:$B$17,MATCH('Failure Log'!D72,'Group Reference Table'!$A$3:$A$17,0))</f>
        <v>Feeder/Feeding</v>
      </c>
      <c r="F72" s="2" t="s">
        <v>52</v>
      </c>
      <c r="G72">
        <f t="shared" si="2"/>
        <v>4</v>
      </c>
      <c r="H72">
        <f t="shared" si="3"/>
        <v>1</v>
      </c>
    </row>
    <row r="73" spans="1:8" x14ac:dyDescent="0.35">
      <c r="A73" t="s">
        <v>90</v>
      </c>
      <c r="B73">
        <v>48</v>
      </c>
      <c r="C73">
        <v>13</v>
      </c>
      <c r="D73" s="11" t="s">
        <v>54</v>
      </c>
      <c r="E73" s="11" t="str">
        <f>INDEX('Group Reference Table'!$B$3:$B$17,MATCH('Failure Log'!D73,'Group Reference Table'!$A$3:$A$17,0))</f>
        <v>RTD/PAT</v>
      </c>
      <c r="F73" s="2" t="s">
        <v>108</v>
      </c>
      <c r="G73">
        <f t="shared" si="2"/>
        <v>9</v>
      </c>
      <c r="H73">
        <f t="shared" si="3"/>
        <v>1</v>
      </c>
    </row>
    <row r="74" spans="1:8" ht="29" x14ac:dyDescent="0.35">
      <c r="A74" t="s">
        <v>109</v>
      </c>
      <c r="B74">
        <v>4</v>
      </c>
      <c r="C74">
        <v>14</v>
      </c>
      <c r="D74" s="11" t="s">
        <v>72</v>
      </c>
      <c r="E74" s="11" t="str">
        <f>INDEX('Group Reference Table'!$B$3:$B$17,MATCH('Failure Log'!D74,'Group Reference Table'!$A$3:$A$17,0))</f>
        <v>Compression</v>
      </c>
      <c r="F74" s="2" t="s">
        <v>110</v>
      </c>
      <c r="G74">
        <f t="shared" si="2"/>
        <v>80</v>
      </c>
      <c r="H74">
        <f t="shared" si="3"/>
        <v>15</v>
      </c>
    </row>
    <row r="75" spans="1:8" ht="101.5" x14ac:dyDescent="0.35">
      <c r="A75" t="s">
        <v>58</v>
      </c>
      <c r="B75">
        <v>5</v>
      </c>
      <c r="C75">
        <v>14</v>
      </c>
      <c r="D75" s="11" t="s">
        <v>13</v>
      </c>
      <c r="E75" s="11" t="str">
        <f>INDEX('Group Reference Table'!$B$3:$B$17,MATCH('Failure Log'!D75,'Group Reference Table'!$A$3:$A$17,0))</f>
        <v>Feeder/Feeding</v>
      </c>
      <c r="F75" s="2" t="s">
        <v>111</v>
      </c>
      <c r="G75">
        <f t="shared" si="2"/>
        <v>318</v>
      </c>
      <c r="H75">
        <f t="shared" si="3"/>
        <v>55</v>
      </c>
    </row>
    <row r="76" spans="1:8" ht="43.5" x14ac:dyDescent="0.35">
      <c r="A76" t="s">
        <v>58</v>
      </c>
      <c r="B76">
        <v>5</v>
      </c>
      <c r="C76">
        <v>14</v>
      </c>
      <c r="D76" s="11" t="s">
        <v>72</v>
      </c>
      <c r="E76" s="11" t="str">
        <f>INDEX('Group Reference Table'!$B$3:$B$17,MATCH('Failure Log'!D76,'Group Reference Table'!$A$3:$A$17,0))</f>
        <v>Compression</v>
      </c>
      <c r="F76" s="2" t="s">
        <v>112</v>
      </c>
      <c r="G76">
        <f t="shared" si="2"/>
        <v>132</v>
      </c>
      <c r="H76">
        <f t="shared" si="3"/>
        <v>22</v>
      </c>
    </row>
    <row r="77" spans="1:8" ht="29" x14ac:dyDescent="0.35">
      <c r="A77" t="s">
        <v>113</v>
      </c>
      <c r="B77">
        <v>8</v>
      </c>
      <c r="C77">
        <v>14</v>
      </c>
      <c r="D77" s="11" t="s">
        <v>13</v>
      </c>
      <c r="E77" s="11" t="str">
        <f>INDEX('Group Reference Table'!$B$3:$B$17,MATCH('Failure Log'!D77,'Group Reference Table'!$A$3:$A$17,0))</f>
        <v>Feeder/Feeding</v>
      </c>
      <c r="F77" s="2" t="s">
        <v>114</v>
      </c>
      <c r="G77">
        <f t="shared" si="2"/>
        <v>81</v>
      </c>
      <c r="H77">
        <f t="shared" si="3"/>
        <v>11</v>
      </c>
    </row>
    <row r="78" spans="1:8" ht="29" x14ac:dyDescent="0.35">
      <c r="A78" t="s">
        <v>115</v>
      </c>
      <c r="B78">
        <v>12</v>
      </c>
      <c r="C78">
        <v>14</v>
      </c>
      <c r="D78" s="11" t="s">
        <v>13</v>
      </c>
      <c r="E78" s="11" t="str">
        <f>INDEX('Group Reference Table'!$B$3:$B$17,MATCH('Failure Log'!D78,'Group Reference Table'!$A$3:$A$17,0))</f>
        <v>Feeder/Feeding</v>
      </c>
      <c r="F78" s="2" t="s">
        <v>116</v>
      </c>
      <c r="G78">
        <f t="shared" si="2"/>
        <v>80</v>
      </c>
      <c r="H78">
        <f t="shared" si="3"/>
        <v>11</v>
      </c>
    </row>
    <row r="79" spans="1:8" ht="29" x14ac:dyDescent="0.35">
      <c r="A79" t="s">
        <v>117</v>
      </c>
      <c r="B79">
        <v>14</v>
      </c>
      <c r="C79">
        <v>14</v>
      </c>
      <c r="D79" s="11" t="s">
        <v>13</v>
      </c>
      <c r="E79" s="11" t="str">
        <f>INDEX('Group Reference Table'!$B$3:$B$17,MATCH('Failure Log'!D79,'Group Reference Table'!$A$3:$A$17,0))</f>
        <v>Feeder/Feeding</v>
      </c>
      <c r="F79" s="2" t="s">
        <v>116</v>
      </c>
      <c r="G79">
        <f t="shared" si="2"/>
        <v>80</v>
      </c>
      <c r="H79">
        <f t="shared" si="3"/>
        <v>11</v>
      </c>
    </row>
    <row r="80" spans="1:8" ht="29" x14ac:dyDescent="0.35">
      <c r="A80" t="s">
        <v>118</v>
      </c>
      <c r="B80">
        <v>16</v>
      </c>
      <c r="C80">
        <v>14</v>
      </c>
      <c r="D80" s="11" t="s">
        <v>13</v>
      </c>
      <c r="E80" s="11" t="str">
        <f>INDEX('Group Reference Table'!$B$3:$B$17,MATCH('Failure Log'!D80,'Group Reference Table'!$A$3:$A$17,0))</f>
        <v>Feeder/Feeding</v>
      </c>
      <c r="F80" s="2" t="s">
        <v>119</v>
      </c>
      <c r="G80">
        <f t="shared" si="2"/>
        <v>50</v>
      </c>
      <c r="H80">
        <f t="shared" si="3"/>
        <v>9</v>
      </c>
    </row>
    <row r="81" spans="1:8" ht="29" x14ac:dyDescent="0.35">
      <c r="A81" t="s">
        <v>118</v>
      </c>
      <c r="B81">
        <v>16</v>
      </c>
      <c r="C81">
        <v>14</v>
      </c>
      <c r="D81" s="11" t="s">
        <v>120</v>
      </c>
      <c r="E81" s="11" t="str">
        <f>INDEX('Group Reference Table'!$B$3:$B$17,MATCH('Failure Log'!D81,'Group Reference Table'!$A$3:$A$17,0))</f>
        <v>Blending</v>
      </c>
      <c r="F81" s="2" t="s">
        <v>119</v>
      </c>
      <c r="G81">
        <f t="shared" si="2"/>
        <v>50</v>
      </c>
      <c r="H81">
        <f t="shared" si="3"/>
        <v>9</v>
      </c>
    </row>
    <row r="82" spans="1:8" ht="29" x14ac:dyDescent="0.35">
      <c r="A82" t="s">
        <v>118</v>
      </c>
      <c r="B82">
        <v>16</v>
      </c>
      <c r="C82">
        <v>14</v>
      </c>
      <c r="D82" s="11" t="s">
        <v>72</v>
      </c>
      <c r="E82" s="11" t="str">
        <f>INDEX('Group Reference Table'!$B$3:$B$17,MATCH('Failure Log'!D82,'Group Reference Table'!$A$3:$A$17,0))</f>
        <v>Compression</v>
      </c>
      <c r="F82" s="2" t="s">
        <v>119</v>
      </c>
      <c r="G82">
        <f t="shared" si="2"/>
        <v>50</v>
      </c>
      <c r="H82">
        <f t="shared" si="3"/>
        <v>9</v>
      </c>
    </row>
    <row r="83" spans="1:8" ht="58" x14ac:dyDescent="0.35">
      <c r="A83" t="s">
        <v>67</v>
      </c>
      <c r="B83">
        <v>17</v>
      </c>
      <c r="C83">
        <v>14</v>
      </c>
      <c r="D83" s="11" t="s">
        <v>13</v>
      </c>
      <c r="E83" s="11" t="str">
        <f>INDEX('Group Reference Table'!$B$3:$B$17,MATCH('Failure Log'!D83,'Group Reference Table'!$A$3:$A$17,0))</f>
        <v>Feeder/Feeding</v>
      </c>
      <c r="F83" s="2" t="s">
        <v>121</v>
      </c>
      <c r="G83">
        <f t="shared" si="2"/>
        <v>177</v>
      </c>
      <c r="H83">
        <f t="shared" si="3"/>
        <v>34</v>
      </c>
    </row>
    <row r="84" spans="1:8" ht="58" x14ac:dyDescent="0.35">
      <c r="A84" t="s">
        <v>67</v>
      </c>
      <c r="B84">
        <v>17</v>
      </c>
      <c r="C84">
        <v>14</v>
      </c>
      <c r="D84" s="11" t="s">
        <v>120</v>
      </c>
      <c r="E84" s="11" t="str">
        <f>INDEX('Group Reference Table'!$B$3:$B$17,MATCH('Failure Log'!D84,'Group Reference Table'!$A$3:$A$17,0))</f>
        <v>Blending</v>
      </c>
      <c r="F84" s="2" t="s">
        <v>121</v>
      </c>
      <c r="G84">
        <f t="shared" si="2"/>
        <v>177</v>
      </c>
      <c r="H84">
        <f t="shared" si="3"/>
        <v>34</v>
      </c>
    </row>
    <row r="85" spans="1:8" ht="58" x14ac:dyDescent="0.35">
      <c r="A85" t="s">
        <v>67</v>
      </c>
      <c r="B85">
        <v>17</v>
      </c>
      <c r="C85">
        <v>14</v>
      </c>
      <c r="D85" s="11" t="s">
        <v>72</v>
      </c>
      <c r="E85" s="11" t="str">
        <f>INDEX('Group Reference Table'!$B$3:$B$17,MATCH('Failure Log'!D85,'Group Reference Table'!$A$3:$A$17,0))</f>
        <v>Compression</v>
      </c>
      <c r="F85" s="2" t="s">
        <v>121</v>
      </c>
      <c r="G85">
        <f t="shared" si="2"/>
        <v>177</v>
      </c>
      <c r="H85">
        <f t="shared" si="3"/>
        <v>34</v>
      </c>
    </row>
    <row r="86" spans="1:8" ht="29" x14ac:dyDescent="0.35">
      <c r="A86" t="s">
        <v>12</v>
      </c>
      <c r="B86">
        <v>21</v>
      </c>
      <c r="C86">
        <v>14</v>
      </c>
      <c r="D86" s="11" t="s">
        <v>13</v>
      </c>
      <c r="E86" s="11" t="str">
        <f>INDEX('Group Reference Table'!$B$3:$B$17,MATCH('Failure Log'!D86,'Group Reference Table'!$A$3:$A$17,0))</f>
        <v>Feeder/Feeding</v>
      </c>
      <c r="F86" s="2" t="s">
        <v>122</v>
      </c>
      <c r="G86">
        <f t="shared" si="2"/>
        <v>71</v>
      </c>
      <c r="H86">
        <f t="shared" si="3"/>
        <v>13</v>
      </c>
    </row>
    <row r="87" spans="1:8" x14ac:dyDescent="0.35">
      <c r="A87" t="s">
        <v>12</v>
      </c>
      <c r="B87">
        <v>21</v>
      </c>
      <c r="C87">
        <v>14</v>
      </c>
      <c r="D87" s="11" t="s">
        <v>72</v>
      </c>
      <c r="E87" s="11" t="str">
        <f>INDEX('Group Reference Table'!$B$3:$B$17,MATCH('Failure Log'!D87,'Group Reference Table'!$A$3:$A$17,0))</f>
        <v>Compression</v>
      </c>
      <c r="F87" s="2" t="s">
        <v>123</v>
      </c>
      <c r="G87">
        <f t="shared" si="2"/>
        <v>21</v>
      </c>
      <c r="H87">
        <f t="shared" si="3"/>
        <v>5</v>
      </c>
    </row>
    <row r="88" spans="1:8" ht="29" x14ac:dyDescent="0.35">
      <c r="A88" t="s">
        <v>17</v>
      </c>
      <c r="B88">
        <v>26</v>
      </c>
      <c r="C88">
        <v>14</v>
      </c>
      <c r="D88" s="11" t="s">
        <v>13</v>
      </c>
      <c r="E88" s="11" t="str">
        <f>INDEX('Group Reference Table'!$B$3:$B$17,MATCH('Failure Log'!D88,'Group Reference Table'!$A$3:$A$17,0))</f>
        <v>Feeder/Feeding</v>
      </c>
      <c r="F88" s="2" t="s">
        <v>124</v>
      </c>
      <c r="G88">
        <f t="shared" si="2"/>
        <v>81</v>
      </c>
      <c r="H88">
        <f t="shared" si="3"/>
        <v>11</v>
      </c>
    </row>
    <row r="89" spans="1:8" ht="29" x14ac:dyDescent="0.35">
      <c r="A89" t="s">
        <v>19</v>
      </c>
      <c r="B89">
        <v>27</v>
      </c>
      <c r="C89">
        <v>14</v>
      </c>
      <c r="D89" s="11" t="s">
        <v>13</v>
      </c>
      <c r="E89" s="11" t="str">
        <f>INDEX('Group Reference Table'!$B$3:$B$17,MATCH('Failure Log'!D89,'Group Reference Table'!$A$3:$A$17,0))</f>
        <v>Feeder/Feeding</v>
      </c>
      <c r="F89" s="2" t="s">
        <v>125</v>
      </c>
      <c r="G89">
        <f t="shared" si="2"/>
        <v>82</v>
      </c>
      <c r="H89">
        <f t="shared" si="3"/>
        <v>11</v>
      </c>
    </row>
    <row r="90" spans="1:8" ht="43.5" x14ac:dyDescent="0.35">
      <c r="A90" t="s">
        <v>82</v>
      </c>
      <c r="B90">
        <v>36</v>
      </c>
      <c r="C90">
        <v>14</v>
      </c>
      <c r="D90" s="11" t="s">
        <v>13</v>
      </c>
      <c r="E90" s="11" t="str">
        <f>INDEX('Group Reference Table'!$B$3:$B$17,MATCH('Failure Log'!D90,'Group Reference Table'!$A$3:$A$17,0))</f>
        <v>Feeder/Feeding</v>
      </c>
      <c r="F90" s="2" t="s">
        <v>126</v>
      </c>
      <c r="G90">
        <f t="shared" si="2"/>
        <v>116</v>
      </c>
      <c r="H90">
        <f t="shared" si="3"/>
        <v>20</v>
      </c>
    </row>
    <row r="91" spans="1:8" ht="87" x14ac:dyDescent="0.35">
      <c r="A91" t="s">
        <v>127</v>
      </c>
      <c r="B91">
        <v>37</v>
      </c>
      <c r="C91">
        <v>14</v>
      </c>
      <c r="D91" s="11" t="s">
        <v>13</v>
      </c>
      <c r="E91" s="11" t="str">
        <f>INDEX('Group Reference Table'!$B$3:$B$17,MATCH('Failure Log'!D91,'Group Reference Table'!$A$3:$A$17,0))</f>
        <v>Feeder/Feeding</v>
      </c>
      <c r="F91" s="2" t="s">
        <v>128</v>
      </c>
      <c r="G91">
        <f t="shared" si="2"/>
        <v>253</v>
      </c>
      <c r="H91">
        <f t="shared" si="3"/>
        <v>39</v>
      </c>
    </row>
    <row r="92" spans="1:8" ht="43.5" x14ac:dyDescent="0.35">
      <c r="A92" t="s">
        <v>53</v>
      </c>
      <c r="B92">
        <v>41</v>
      </c>
      <c r="C92">
        <v>14</v>
      </c>
      <c r="D92" s="11" t="s">
        <v>13</v>
      </c>
      <c r="E92" s="11" t="str">
        <f>INDEX('Group Reference Table'!$B$3:$B$17,MATCH('Failure Log'!D92,'Group Reference Table'!$A$3:$A$17,0))</f>
        <v>Feeder/Feeding</v>
      </c>
      <c r="F92" s="2" t="s">
        <v>129</v>
      </c>
      <c r="G92">
        <f t="shared" si="2"/>
        <v>104</v>
      </c>
      <c r="H92">
        <f t="shared" si="3"/>
        <v>19</v>
      </c>
    </row>
    <row r="93" spans="1:8" ht="29" x14ac:dyDescent="0.35">
      <c r="A93" t="s">
        <v>130</v>
      </c>
      <c r="B93">
        <v>46</v>
      </c>
      <c r="C93">
        <v>14</v>
      </c>
      <c r="D93" s="11" t="s">
        <v>13</v>
      </c>
      <c r="E93" s="11" t="str">
        <f>INDEX('Group Reference Table'!$B$3:$B$17,MATCH('Failure Log'!D93,'Group Reference Table'!$A$3:$A$17,0))</f>
        <v>Feeder/Feeding</v>
      </c>
      <c r="F93" s="2" t="s">
        <v>131</v>
      </c>
      <c r="G93">
        <f t="shared" si="2"/>
        <v>81</v>
      </c>
      <c r="H93">
        <f t="shared" si="3"/>
        <v>11</v>
      </c>
    </row>
    <row r="94" spans="1:8" ht="43.5" x14ac:dyDescent="0.35">
      <c r="A94" t="s">
        <v>90</v>
      </c>
      <c r="B94">
        <v>48</v>
      </c>
      <c r="C94">
        <v>14</v>
      </c>
      <c r="D94" s="11" t="s">
        <v>13</v>
      </c>
      <c r="E94" s="11" t="str">
        <f>INDEX('Group Reference Table'!$B$3:$B$17,MATCH('Failure Log'!D94,'Group Reference Table'!$A$3:$A$17,0))</f>
        <v>Feeder/Feeding</v>
      </c>
      <c r="F94" s="2" t="s">
        <v>132</v>
      </c>
      <c r="G94">
        <f t="shared" si="2"/>
        <v>116</v>
      </c>
      <c r="H94">
        <f t="shared" si="3"/>
        <v>22</v>
      </c>
    </row>
    <row r="95" spans="1:8" x14ac:dyDescent="0.35">
      <c r="A95" t="s">
        <v>58</v>
      </c>
      <c r="B95">
        <v>5</v>
      </c>
      <c r="C95">
        <v>14</v>
      </c>
      <c r="D95" s="11" t="s">
        <v>49</v>
      </c>
      <c r="E95" s="11" t="str">
        <f>INDEX('Group Reference Table'!$B$3:$B$17,MATCH('Failure Log'!D95,'Group Reference Table'!$A$3:$A$17,0))</f>
        <v>Adjustment</v>
      </c>
      <c r="F95" s="2" t="s">
        <v>133</v>
      </c>
      <c r="G95">
        <f t="shared" si="2"/>
        <v>11</v>
      </c>
      <c r="H95">
        <f t="shared" si="3"/>
        <v>2</v>
      </c>
    </row>
    <row r="96" spans="1:8" x14ac:dyDescent="0.35">
      <c r="A96" t="s">
        <v>113</v>
      </c>
      <c r="B96">
        <v>8</v>
      </c>
      <c r="C96">
        <v>14</v>
      </c>
      <c r="D96" s="11" t="s">
        <v>38</v>
      </c>
      <c r="E96" s="11" t="str">
        <f>INDEX('Group Reference Table'!$B$3:$B$17,MATCH('Failure Log'!D96,'Group Reference Table'!$A$3:$A$17,0))</f>
        <v>Electronic Communication</v>
      </c>
      <c r="F96" s="2" t="s">
        <v>44</v>
      </c>
      <c r="G96">
        <f t="shared" si="2"/>
        <v>10</v>
      </c>
      <c r="H96">
        <f t="shared" si="3"/>
        <v>2</v>
      </c>
    </row>
    <row r="97" spans="1:8" x14ac:dyDescent="0.35">
      <c r="A97" t="s">
        <v>115</v>
      </c>
      <c r="B97">
        <v>12</v>
      </c>
      <c r="C97">
        <v>14</v>
      </c>
      <c r="D97" s="11" t="s">
        <v>38</v>
      </c>
      <c r="E97" s="11" t="str">
        <f>INDEX('Group Reference Table'!$B$3:$B$17,MATCH('Failure Log'!D97,'Group Reference Table'!$A$3:$A$17,0))</f>
        <v>Electronic Communication</v>
      </c>
      <c r="F97" s="2" t="s">
        <v>44</v>
      </c>
      <c r="G97">
        <f t="shared" si="2"/>
        <v>10</v>
      </c>
      <c r="H97">
        <f t="shared" si="3"/>
        <v>2</v>
      </c>
    </row>
    <row r="98" spans="1:8" x14ac:dyDescent="0.35">
      <c r="A98" t="s">
        <v>117</v>
      </c>
      <c r="B98">
        <v>14</v>
      </c>
      <c r="C98">
        <v>14</v>
      </c>
      <c r="D98" s="11" t="s">
        <v>38</v>
      </c>
      <c r="E98" s="11" t="str">
        <f>INDEX('Group Reference Table'!$B$3:$B$17,MATCH('Failure Log'!D98,'Group Reference Table'!$A$3:$A$17,0))</f>
        <v>Electronic Communication</v>
      </c>
      <c r="F98" s="2" t="s">
        <v>44</v>
      </c>
      <c r="G98">
        <f t="shared" si="2"/>
        <v>10</v>
      </c>
      <c r="H98">
        <f t="shared" si="3"/>
        <v>2</v>
      </c>
    </row>
    <row r="99" spans="1:8" x14ac:dyDescent="0.35">
      <c r="A99" t="s">
        <v>118</v>
      </c>
      <c r="B99">
        <v>16</v>
      </c>
      <c r="C99">
        <v>14</v>
      </c>
      <c r="D99" s="11" t="s">
        <v>49</v>
      </c>
      <c r="E99" s="11" t="str">
        <f>INDEX('Group Reference Table'!$B$3:$B$17,MATCH('Failure Log'!D99,'Group Reference Table'!$A$3:$A$17,0))</f>
        <v>Adjustment</v>
      </c>
      <c r="F99" s="2" t="s">
        <v>134</v>
      </c>
      <c r="G99">
        <f t="shared" si="2"/>
        <v>9</v>
      </c>
      <c r="H99">
        <f t="shared" si="3"/>
        <v>2</v>
      </c>
    </row>
    <row r="100" spans="1:8" x14ac:dyDescent="0.35">
      <c r="A100" t="s">
        <v>12</v>
      </c>
      <c r="B100">
        <v>21</v>
      </c>
      <c r="C100">
        <v>14</v>
      </c>
      <c r="D100" s="11" t="s">
        <v>93</v>
      </c>
      <c r="E100" s="11" t="str">
        <f>INDEX('Group Reference Table'!$B$3:$B$17,MATCH('Failure Log'!D100,'Group Reference Table'!$A$3:$A$17,0))</f>
        <v>Cleaning</v>
      </c>
      <c r="F100" s="2" t="s">
        <v>99</v>
      </c>
      <c r="G100">
        <f t="shared" si="2"/>
        <v>8</v>
      </c>
      <c r="H100">
        <f t="shared" si="3"/>
        <v>2</v>
      </c>
    </row>
    <row r="101" spans="1:8" x14ac:dyDescent="0.35">
      <c r="A101" t="s">
        <v>17</v>
      </c>
      <c r="B101">
        <v>26</v>
      </c>
      <c r="C101">
        <v>14</v>
      </c>
      <c r="D101" s="11" t="s">
        <v>38</v>
      </c>
      <c r="E101" s="11" t="str">
        <f>INDEX('Group Reference Table'!$B$3:$B$17,MATCH('Failure Log'!D101,'Group Reference Table'!$A$3:$A$17,0))</f>
        <v>Electronic Communication</v>
      </c>
      <c r="F101" s="2" t="s">
        <v>44</v>
      </c>
      <c r="G101">
        <f t="shared" si="2"/>
        <v>10</v>
      </c>
      <c r="H101">
        <f t="shared" si="3"/>
        <v>2</v>
      </c>
    </row>
    <row r="102" spans="1:8" x14ac:dyDescent="0.35">
      <c r="A102" t="s">
        <v>19</v>
      </c>
      <c r="B102">
        <v>27</v>
      </c>
      <c r="C102">
        <v>14</v>
      </c>
      <c r="D102" s="11" t="s">
        <v>38</v>
      </c>
      <c r="E102" s="11" t="str">
        <f>INDEX('Group Reference Table'!$B$3:$B$17,MATCH('Failure Log'!D102,'Group Reference Table'!$A$3:$A$17,0))</f>
        <v>Electronic Communication</v>
      </c>
      <c r="F102" s="2" t="s">
        <v>135</v>
      </c>
      <c r="G102">
        <f t="shared" si="2"/>
        <v>11</v>
      </c>
      <c r="H102">
        <f t="shared" si="3"/>
        <v>2</v>
      </c>
    </row>
    <row r="103" spans="1:8" x14ac:dyDescent="0.35">
      <c r="A103" t="s">
        <v>82</v>
      </c>
      <c r="B103">
        <v>36</v>
      </c>
      <c r="C103">
        <v>14</v>
      </c>
      <c r="D103" s="11" t="s">
        <v>93</v>
      </c>
      <c r="E103" s="11" t="str">
        <f>INDEX('Group Reference Table'!$B$3:$B$17,MATCH('Failure Log'!D103,'Group Reference Table'!$A$3:$A$17,0))</f>
        <v>Cleaning</v>
      </c>
      <c r="F103" s="2" t="s">
        <v>94</v>
      </c>
      <c r="G103">
        <f t="shared" si="2"/>
        <v>36</v>
      </c>
      <c r="H103">
        <f t="shared" si="3"/>
        <v>6</v>
      </c>
    </row>
    <row r="104" spans="1:8" x14ac:dyDescent="0.35">
      <c r="A104" t="s">
        <v>127</v>
      </c>
      <c r="B104">
        <v>37</v>
      </c>
      <c r="C104">
        <v>14</v>
      </c>
      <c r="D104" s="11" t="s">
        <v>38</v>
      </c>
      <c r="E104" s="11" t="str">
        <f>INDEX('Group Reference Table'!$B$3:$B$17,MATCH('Failure Log'!D104,'Group Reference Table'!$A$3:$A$17,0))</f>
        <v>Electronic Communication</v>
      </c>
      <c r="F104" s="2" t="s">
        <v>44</v>
      </c>
      <c r="G104">
        <f t="shared" si="2"/>
        <v>10</v>
      </c>
      <c r="H104">
        <f t="shared" si="3"/>
        <v>2</v>
      </c>
    </row>
    <row r="105" spans="1:8" x14ac:dyDescent="0.35">
      <c r="A105" t="s">
        <v>130</v>
      </c>
      <c r="B105">
        <v>46</v>
      </c>
      <c r="C105">
        <v>14</v>
      </c>
      <c r="D105" s="11" t="s">
        <v>38</v>
      </c>
      <c r="E105" s="11" t="str">
        <f>INDEX('Group Reference Table'!$B$3:$B$17,MATCH('Failure Log'!D105,'Group Reference Table'!$A$3:$A$17,0))</f>
        <v>Electronic Communication</v>
      </c>
      <c r="F105" s="2" t="s">
        <v>44</v>
      </c>
      <c r="G105">
        <f t="shared" si="2"/>
        <v>10</v>
      </c>
      <c r="H105">
        <f t="shared" si="3"/>
        <v>2</v>
      </c>
    </row>
    <row r="106" spans="1:8" x14ac:dyDescent="0.35">
      <c r="A106" t="s">
        <v>90</v>
      </c>
      <c r="B106">
        <v>48</v>
      </c>
      <c r="C106">
        <v>14</v>
      </c>
      <c r="D106" s="11" t="s">
        <v>93</v>
      </c>
      <c r="E106" s="11" t="str">
        <f>INDEX('Group Reference Table'!$B$3:$B$17,MATCH('Failure Log'!D106,'Group Reference Table'!$A$3:$A$17,0))</f>
        <v>Cleaning</v>
      </c>
      <c r="F106" s="2" t="s">
        <v>136</v>
      </c>
      <c r="G106">
        <f t="shared" si="2"/>
        <v>26</v>
      </c>
      <c r="H106">
        <f t="shared" si="3"/>
        <v>4</v>
      </c>
    </row>
    <row r="107" spans="1:8" ht="29" x14ac:dyDescent="0.35">
      <c r="A107" t="s">
        <v>137</v>
      </c>
      <c r="B107">
        <v>2</v>
      </c>
      <c r="C107">
        <v>15</v>
      </c>
      <c r="D107" s="11" t="s">
        <v>13</v>
      </c>
      <c r="E107" s="11" t="str">
        <f>INDEX('Group Reference Table'!$B$3:$B$17,MATCH('Failure Log'!D107,'Group Reference Table'!$A$3:$A$17,0))</f>
        <v>Feeder/Feeding</v>
      </c>
      <c r="F107" s="2" t="s">
        <v>138</v>
      </c>
      <c r="G107">
        <f t="shared" si="2"/>
        <v>84</v>
      </c>
      <c r="H107">
        <f t="shared" si="3"/>
        <v>11</v>
      </c>
    </row>
    <row r="108" spans="1:8" ht="72.5" x14ac:dyDescent="0.35">
      <c r="A108" t="s">
        <v>109</v>
      </c>
      <c r="B108">
        <v>4</v>
      </c>
      <c r="C108">
        <v>15</v>
      </c>
      <c r="D108" s="11" t="s">
        <v>13</v>
      </c>
      <c r="E108" s="11" t="str">
        <f>INDEX('Group Reference Table'!$B$3:$B$17,MATCH('Failure Log'!D108,'Group Reference Table'!$A$3:$A$17,0))</f>
        <v>Feeder/Feeding</v>
      </c>
      <c r="F108" s="2" t="s">
        <v>139</v>
      </c>
      <c r="G108">
        <f t="shared" si="2"/>
        <v>199</v>
      </c>
      <c r="H108">
        <f t="shared" si="3"/>
        <v>29</v>
      </c>
    </row>
    <row r="109" spans="1:8" ht="29" x14ac:dyDescent="0.35">
      <c r="A109" t="s">
        <v>58</v>
      </c>
      <c r="B109">
        <v>5</v>
      </c>
      <c r="C109">
        <v>15</v>
      </c>
      <c r="D109" s="11" t="s">
        <v>13</v>
      </c>
      <c r="E109" s="11" t="str">
        <f>INDEX('Group Reference Table'!$B$3:$B$17,MATCH('Failure Log'!D109,'Group Reference Table'!$A$3:$A$17,0))</f>
        <v>Feeder/Feeding</v>
      </c>
      <c r="F109" s="2" t="s">
        <v>140</v>
      </c>
      <c r="G109">
        <f t="shared" si="2"/>
        <v>81</v>
      </c>
      <c r="H109">
        <f t="shared" si="3"/>
        <v>11</v>
      </c>
    </row>
    <row r="110" spans="1:8" x14ac:dyDescent="0.35">
      <c r="A110" t="s">
        <v>113</v>
      </c>
      <c r="B110">
        <v>8</v>
      </c>
      <c r="C110">
        <v>15</v>
      </c>
      <c r="D110" s="11" t="s">
        <v>13</v>
      </c>
      <c r="E110" s="11" t="str">
        <f>INDEX('Group Reference Table'!$B$3:$B$17,MATCH('Failure Log'!D110,'Group Reference Table'!$A$3:$A$17,0))</f>
        <v>Feeder/Feeding</v>
      </c>
      <c r="F110" s="2" t="s">
        <v>141</v>
      </c>
      <c r="G110">
        <f t="shared" si="2"/>
        <v>48</v>
      </c>
      <c r="H110">
        <f t="shared" si="3"/>
        <v>10</v>
      </c>
    </row>
    <row r="111" spans="1:8" ht="72.5" x14ac:dyDescent="0.35">
      <c r="A111" t="s">
        <v>65</v>
      </c>
      <c r="B111">
        <v>11</v>
      </c>
      <c r="C111">
        <v>15</v>
      </c>
      <c r="D111" s="11" t="s">
        <v>13</v>
      </c>
      <c r="E111" s="11" t="str">
        <f>INDEX('Group Reference Table'!$B$3:$B$17,MATCH('Failure Log'!D111,'Group Reference Table'!$A$3:$A$17,0))</f>
        <v>Feeder/Feeding</v>
      </c>
      <c r="F111" s="2" t="s">
        <v>142</v>
      </c>
      <c r="G111">
        <f t="shared" si="2"/>
        <v>221</v>
      </c>
      <c r="H111">
        <f t="shared" si="3"/>
        <v>40</v>
      </c>
    </row>
    <row r="112" spans="1:8" ht="29" x14ac:dyDescent="0.35">
      <c r="A112" t="s">
        <v>143</v>
      </c>
      <c r="B112">
        <v>13</v>
      </c>
      <c r="C112">
        <v>15</v>
      </c>
      <c r="D112" s="11" t="s">
        <v>13</v>
      </c>
      <c r="E112" s="11" t="str">
        <f>INDEX('Group Reference Table'!$B$3:$B$17,MATCH('Failure Log'!D112,'Group Reference Table'!$A$3:$A$17,0))</f>
        <v>Feeder/Feeding</v>
      </c>
      <c r="F112" s="2" t="s">
        <v>138</v>
      </c>
      <c r="G112">
        <f t="shared" si="2"/>
        <v>84</v>
      </c>
      <c r="H112">
        <f t="shared" si="3"/>
        <v>11</v>
      </c>
    </row>
    <row r="113" spans="1:8" ht="101.5" x14ac:dyDescent="0.35">
      <c r="A113" t="s">
        <v>117</v>
      </c>
      <c r="B113">
        <v>14</v>
      </c>
      <c r="C113">
        <v>15</v>
      </c>
      <c r="D113" s="11" t="s">
        <v>13</v>
      </c>
      <c r="E113" s="11" t="str">
        <f>INDEX('Group Reference Table'!$B$3:$B$17,MATCH('Failure Log'!D113,'Group Reference Table'!$A$3:$A$17,0))</f>
        <v>Feeder/Feeding</v>
      </c>
      <c r="F113" s="2" t="s">
        <v>144</v>
      </c>
      <c r="G113">
        <f t="shared" si="2"/>
        <v>324</v>
      </c>
      <c r="H113">
        <f t="shared" si="3"/>
        <v>55</v>
      </c>
    </row>
    <row r="114" spans="1:8" ht="101.5" x14ac:dyDescent="0.35">
      <c r="A114" t="s">
        <v>117</v>
      </c>
      <c r="B114">
        <v>14</v>
      </c>
      <c r="C114">
        <v>15</v>
      </c>
      <c r="D114" s="11" t="s">
        <v>120</v>
      </c>
      <c r="E114" s="11" t="str">
        <f>INDEX('Group Reference Table'!$B$3:$B$17,MATCH('Failure Log'!D114,'Group Reference Table'!$A$3:$A$17,0))</f>
        <v>Blending</v>
      </c>
      <c r="F114" s="2" t="s">
        <v>144</v>
      </c>
      <c r="G114">
        <f t="shared" si="2"/>
        <v>324</v>
      </c>
      <c r="H114">
        <f t="shared" si="3"/>
        <v>55</v>
      </c>
    </row>
    <row r="115" spans="1:8" ht="101.5" x14ac:dyDescent="0.35">
      <c r="A115" t="s">
        <v>117</v>
      </c>
      <c r="B115">
        <v>14</v>
      </c>
      <c r="C115">
        <v>15</v>
      </c>
      <c r="D115" s="11" t="s">
        <v>72</v>
      </c>
      <c r="E115" s="11" t="str">
        <f>INDEX('Group Reference Table'!$B$3:$B$17,MATCH('Failure Log'!D115,'Group Reference Table'!$A$3:$A$17,0))</f>
        <v>Compression</v>
      </c>
      <c r="F115" s="2" t="s">
        <v>144</v>
      </c>
      <c r="G115">
        <f t="shared" si="2"/>
        <v>324</v>
      </c>
      <c r="H115">
        <f t="shared" si="3"/>
        <v>55</v>
      </c>
    </row>
    <row r="116" spans="1:8" ht="101.5" x14ac:dyDescent="0.35">
      <c r="A116" t="s">
        <v>117</v>
      </c>
      <c r="B116">
        <v>14</v>
      </c>
      <c r="C116">
        <v>15</v>
      </c>
      <c r="D116" s="11" t="s">
        <v>6</v>
      </c>
      <c r="E116" s="11" t="str">
        <f>INDEX('Group Reference Table'!$B$3:$B$17,MATCH('Failure Log'!D116,'Group Reference Table'!$A$3:$A$17,0))</f>
        <v>RTD/PAT</v>
      </c>
      <c r="F116" s="2" t="s">
        <v>144</v>
      </c>
      <c r="G116">
        <f t="shared" si="2"/>
        <v>324</v>
      </c>
      <c r="H116">
        <f t="shared" si="3"/>
        <v>55</v>
      </c>
    </row>
    <row r="117" spans="1:8" ht="101.5" x14ac:dyDescent="0.35">
      <c r="A117" t="s">
        <v>117</v>
      </c>
      <c r="B117">
        <v>14</v>
      </c>
      <c r="C117">
        <v>15</v>
      </c>
      <c r="D117" s="11" t="s">
        <v>8</v>
      </c>
      <c r="E117" s="11" t="str">
        <f>INDEX('Group Reference Table'!$B$3:$B$17,MATCH('Failure Log'!D117,'Group Reference Table'!$A$3:$A$17,0))</f>
        <v>Quality</v>
      </c>
      <c r="F117" s="2" t="s">
        <v>144</v>
      </c>
      <c r="G117">
        <f t="shared" si="2"/>
        <v>324</v>
      </c>
      <c r="H117">
        <f t="shared" si="3"/>
        <v>55</v>
      </c>
    </row>
    <row r="118" spans="1:8" x14ac:dyDescent="0.35">
      <c r="A118" t="s">
        <v>12</v>
      </c>
      <c r="B118">
        <v>21</v>
      </c>
      <c r="C118">
        <v>15</v>
      </c>
      <c r="D118" s="11" t="s">
        <v>13</v>
      </c>
      <c r="E118" s="11" t="str">
        <f>INDEX('Group Reference Table'!$B$3:$B$17,MATCH('Failure Log'!D118,'Group Reference Table'!$A$3:$A$17,0))</f>
        <v>Feeder/Feeding</v>
      </c>
      <c r="F118" s="2" t="s">
        <v>145</v>
      </c>
      <c r="G118">
        <f t="shared" si="2"/>
        <v>30</v>
      </c>
      <c r="H118">
        <f t="shared" si="3"/>
        <v>6</v>
      </c>
    </row>
    <row r="119" spans="1:8" x14ac:dyDescent="0.35">
      <c r="A119" t="s">
        <v>12</v>
      </c>
      <c r="B119">
        <v>21</v>
      </c>
      <c r="C119">
        <v>15</v>
      </c>
      <c r="D119" s="11" t="s">
        <v>72</v>
      </c>
      <c r="E119" s="11" t="str">
        <f>INDEX('Group Reference Table'!$B$3:$B$17,MATCH('Failure Log'!D119,'Group Reference Table'!$A$3:$A$17,0))</f>
        <v>Compression</v>
      </c>
      <c r="F119" s="2" t="s">
        <v>123</v>
      </c>
      <c r="G119">
        <f t="shared" si="2"/>
        <v>21</v>
      </c>
      <c r="H119">
        <f t="shared" si="3"/>
        <v>5</v>
      </c>
    </row>
    <row r="120" spans="1:8" ht="29" x14ac:dyDescent="0.35">
      <c r="A120" t="s">
        <v>74</v>
      </c>
      <c r="B120">
        <v>22</v>
      </c>
      <c r="C120">
        <v>15</v>
      </c>
      <c r="D120" s="11" t="s">
        <v>13</v>
      </c>
      <c r="E120" s="11" t="str">
        <f>INDEX('Group Reference Table'!$B$3:$B$17,MATCH('Failure Log'!D120,'Group Reference Table'!$A$3:$A$17,0))</f>
        <v>Feeder/Feeding</v>
      </c>
      <c r="F120" s="2" t="s">
        <v>146</v>
      </c>
      <c r="G120">
        <f t="shared" si="2"/>
        <v>86</v>
      </c>
      <c r="H120">
        <f t="shared" si="3"/>
        <v>16</v>
      </c>
    </row>
    <row r="121" spans="1:8" ht="101.5" x14ac:dyDescent="0.35">
      <c r="A121" t="s">
        <v>15</v>
      </c>
      <c r="B121">
        <v>24</v>
      </c>
      <c r="C121">
        <v>15</v>
      </c>
      <c r="D121" s="11" t="s">
        <v>13</v>
      </c>
      <c r="E121" s="11" t="str">
        <f>INDEX('Group Reference Table'!$B$3:$B$17,MATCH('Failure Log'!D121,'Group Reference Table'!$A$3:$A$17,0))</f>
        <v>Feeder/Feeding</v>
      </c>
      <c r="F121" s="2" t="s">
        <v>147</v>
      </c>
      <c r="G121">
        <f t="shared" si="2"/>
        <v>267</v>
      </c>
      <c r="H121">
        <f t="shared" si="3"/>
        <v>37</v>
      </c>
    </row>
    <row r="122" spans="1:8" ht="29" x14ac:dyDescent="0.35">
      <c r="A122" t="s">
        <v>23</v>
      </c>
      <c r="B122">
        <v>30</v>
      </c>
      <c r="C122">
        <v>15</v>
      </c>
      <c r="D122" s="11" t="s">
        <v>13</v>
      </c>
      <c r="E122" s="11" t="str">
        <f>INDEX('Group Reference Table'!$B$3:$B$17,MATCH('Failure Log'!D122,'Group Reference Table'!$A$3:$A$17,0))</f>
        <v>Feeder/Feeding</v>
      </c>
      <c r="F122" s="2" t="s">
        <v>148</v>
      </c>
      <c r="G122">
        <f t="shared" si="2"/>
        <v>82</v>
      </c>
      <c r="H122">
        <f t="shared" si="3"/>
        <v>11</v>
      </c>
    </row>
    <row r="123" spans="1:8" ht="87" x14ac:dyDescent="0.35">
      <c r="A123" t="s">
        <v>82</v>
      </c>
      <c r="B123">
        <v>36</v>
      </c>
      <c r="C123">
        <v>15</v>
      </c>
      <c r="D123" s="11" t="s">
        <v>13</v>
      </c>
      <c r="E123" s="11" t="str">
        <f>INDEX('Group Reference Table'!$B$3:$B$17,MATCH('Failure Log'!D123,'Group Reference Table'!$A$3:$A$17,0))</f>
        <v>Feeder/Feeding</v>
      </c>
      <c r="F123" s="2" t="s">
        <v>149</v>
      </c>
      <c r="G123">
        <f t="shared" si="2"/>
        <v>278</v>
      </c>
      <c r="H123">
        <f t="shared" si="3"/>
        <v>47</v>
      </c>
    </row>
    <row r="124" spans="1:8" ht="43.5" x14ac:dyDescent="0.35">
      <c r="A124" t="s">
        <v>127</v>
      </c>
      <c r="B124">
        <v>37</v>
      </c>
      <c r="C124">
        <v>15</v>
      </c>
      <c r="D124" s="11" t="s">
        <v>6</v>
      </c>
      <c r="E124" s="11" t="str">
        <f>INDEX('Group Reference Table'!$B$3:$B$17,MATCH('Failure Log'!D124,'Group Reference Table'!$A$3:$A$17,0))</f>
        <v>RTD/PAT</v>
      </c>
      <c r="F124" s="2" t="s">
        <v>150</v>
      </c>
      <c r="G124">
        <f t="shared" si="2"/>
        <v>135</v>
      </c>
      <c r="H124">
        <f t="shared" si="3"/>
        <v>24</v>
      </c>
    </row>
    <row r="125" spans="1:8" ht="72.5" x14ac:dyDescent="0.35">
      <c r="A125" t="s">
        <v>34</v>
      </c>
      <c r="B125">
        <v>39</v>
      </c>
      <c r="C125">
        <v>15</v>
      </c>
      <c r="D125" s="11" t="s">
        <v>13</v>
      </c>
      <c r="E125" s="11" t="str">
        <f>INDEX('Group Reference Table'!$B$3:$B$17,MATCH('Failure Log'!D125,'Group Reference Table'!$A$3:$A$17,0))</f>
        <v>Feeder/Feeding</v>
      </c>
      <c r="F125" s="2" t="s">
        <v>151</v>
      </c>
      <c r="G125">
        <f t="shared" si="2"/>
        <v>222</v>
      </c>
      <c r="H125">
        <f t="shared" si="3"/>
        <v>39</v>
      </c>
    </row>
    <row r="126" spans="1:8" ht="43.5" x14ac:dyDescent="0.35">
      <c r="A126" t="s">
        <v>152</v>
      </c>
      <c r="B126">
        <v>44</v>
      </c>
      <c r="C126">
        <v>15</v>
      </c>
      <c r="D126" s="11" t="s">
        <v>13</v>
      </c>
      <c r="E126" s="11" t="str">
        <f>INDEX('Group Reference Table'!$B$3:$B$17,MATCH('Failure Log'!D126,'Group Reference Table'!$A$3:$A$17,0))</f>
        <v>Feeder/Feeding</v>
      </c>
      <c r="F126" s="2" t="s">
        <v>153</v>
      </c>
      <c r="G126">
        <f t="shared" si="2"/>
        <v>122</v>
      </c>
      <c r="H126">
        <f t="shared" si="3"/>
        <v>22</v>
      </c>
    </row>
    <row r="127" spans="1:8" ht="29" x14ac:dyDescent="0.35">
      <c r="A127" t="s">
        <v>130</v>
      </c>
      <c r="B127">
        <v>46</v>
      </c>
      <c r="C127">
        <v>15</v>
      </c>
      <c r="D127" s="11" t="s">
        <v>13</v>
      </c>
      <c r="E127" s="11" t="str">
        <f>INDEX('Group Reference Table'!$B$3:$B$17,MATCH('Failure Log'!D127,'Group Reference Table'!$A$3:$A$17,0))</f>
        <v>Feeder/Feeding</v>
      </c>
      <c r="F127" s="2" t="s">
        <v>140</v>
      </c>
      <c r="G127">
        <f t="shared" si="2"/>
        <v>81</v>
      </c>
      <c r="H127">
        <f t="shared" si="3"/>
        <v>11</v>
      </c>
    </row>
    <row r="128" spans="1:8" x14ac:dyDescent="0.35">
      <c r="A128" t="s">
        <v>137</v>
      </c>
      <c r="B128">
        <v>2</v>
      </c>
      <c r="C128">
        <v>15</v>
      </c>
      <c r="D128" s="11" t="s">
        <v>38</v>
      </c>
      <c r="E128" s="11" t="str">
        <f>INDEX('Group Reference Table'!$B$3:$B$17,MATCH('Failure Log'!D128,'Group Reference Table'!$A$3:$A$17,0))</f>
        <v>Electronic Communication</v>
      </c>
      <c r="F128" s="2" t="s">
        <v>154</v>
      </c>
      <c r="G128">
        <f t="shared" si="2"/>
        <v>13</v>
      </c>
      <c r="H128">
        <f t="shared" si="3"/>
        <v>2</v>
      </c>
    </row>
    <row r="129" spans="1:8" x14ac:dyDescent="0.35">
      <c r="A129" t="s">
        <v>109</v>
      </c>
      <c r="B129">
        <v>4</v>
      </c>
      <c r="C129">
        <v>15</v>
      </c>
      <c r="D129" s="11" t="s">
        <v>38</v>
      </c>
      <c r="E129" s="11" t="str">
        <f>INDEX('Group Reference Table'!$B$3:$B$17,MATCH('Failure Log'!D129,'Group Reference Table'!$A$3:$A$17,0))</f>
        <v>Electronic Communication</v>
      </c>
      <c r="F129" s="2" t="s">
        <v>44</v>
      </c>
      <c r="G129">
        <f t="shared" si="2"/>
        <v>10</v>
      </c>
      <c r="H129">
        <f t="shared" si="3"/>
        <v>2</v>
      </c>
    </row>
    <row r="130" spans="1:8" x14ac:dyDescent="0.35">
      <c r="A130" t="s">
        <v>58</v>
      </c>
      <c r="B130">
        <v>5</v>
      </c>
      <c r="C130">
        <v>15</v>
      </c>
      <c r="D130" s="11" t="s">
        <v>38</v>
      </c>
      <c r="E130" s="11" t="str">
        <f>INDEX('Group Reference Table'!$B$3:$B$17,MATCH('Failure Log'!D130,'Group Reference Table'!$A$3:$A$17,0))</f>
        <v>Electronic Communication</v>
      </c>
      <c r="F130" s="2" t="s">
        <v>135</v>
      </c>
      <c r="G130">
        <f t="shared" si="2"/>
        <v>11</v>
      </c>
      <c r="H130">
        <f t="shared" si="3"/>
        <v>2</v>
      </c>
    </row>
    <row r="131" spans="1:8" x14ac:dyDescent="0.35">
      <c r="A131" t="s">
        <v>113</v>
      </c>
      <c r="B131">
        <v>8</v>
      </c>
      <c r="C131">
        <v>15</v>
      </c>
      <c r="D131" s="11" t="s">
        <v>93</v>
      </c>
      <c r="E131" s="11" t="str">
        <f>INDEX('Group Reference Table'!$B$3:$B$17,MATCH('Failure Log'!D131,'Group Reference Table'!$A$3:$A$17,0))</f>
        <v>Cleaning</v>
      </c>
      <c r="F131" s="2" t="s">
        <v>155</v>
      </c>
      <c r="G131">
        <f t="shared" ref="G131:G174" si="4">LEN(F131)</f>
        <v>16</v>
      </c>
      <c r="H131">
        <f t="shared" ref="H131:H174" si="5">LEN(TRIM(F131))-LEN(SUBSTITUTE(TRIM(F131)," ",""))+1</f>
        <v>2</v>
      </c>
    </row>
    <row r="132" spans="1:8" x14ac:dyDescent="0.35">
      <c r="A132" t="s">
        <v>65</v>
      </c>
      <c r="B132">
        <v>11</v>
      </c>
      <c r="C132">
        <v>15</v>
      </c>
      <c r="D132" s="11" t="s">
        <v>93</v>
      </c>
      <c r="E132" s="11" t="str">
        <f>INDEX('Group Reference Table'!$B$3:$B$17,MATCH('Failure Log'!D132,'Group Reference Table'!$A$3:$A$17,0))</f>
        <v>Cleaning</v>
      </c>
      <c r="F132" s="2" t="s">
        <v>156</v>
      </c>
      <c r="G132">
        <f t="shared" si="4"/>
        <v>15</v>
      </c>
      <c r="H132">
        <f t="shared" si="5"/>
        <v>2</v>
      </c>
    </row>
    <row r="133" spans="1:8" x14ac:dyDescent="0.35">
      <c r="A133" t="s">
        <v>143</v>
      </c>
      <c r="B133">
        <v>13</v>
      </c>
      <c r="C133">
        <v>15</v>
      </c>
      <c r="D133" s="11" t="s">
        <v>38</v>
      </c>
      <c r="E133" s="11" t="str">
        <f>INDEX('Group Reference Table'!$B$3:$B$17,MATCH('Failure Log'!D133,'Group Reference Table'!$A$3:$A$17,0))</f>
        <v>Electronic Communication</v>
      </c>
      <c r="F133" s="2" t="s">
        <v>154</v>
      </c>
      <c r="G133">
        <f t="shared" si="4"/>
        <v>13</v>
      </c>
      <c r="H133">
        <f t="shared" si="5"/>
        <v>2</v>
      </c>
    </row>
    <row r="134" spans="1:8" x14ac:dyDescent="0.35">
      <c r="A134" t="s">
        <v>12</v>
      </c>
      <c r="B134">
        <v>21</v>
      </c>
      <c r="C134">
        <v>15</v>
      </c>
      <c r="D134" s="11" t="s">
        <v>93</v>
      </c>
      <c r="E134" s="11" t="str">
        <f>INDEX('Group Reference Table'!$B$3:$B$17,MATCH('Failure Log'!D134,'Group Reference Table'!$A$3:$A$17,0))</f>
        <v>Cleaning</v>
      </c>
      <c r="F134" s="2" t="s">
        <v>99</v>
      </c>
      <c r="G134">
        <f t="shared" si="4"/>
        <v>8</v>
      </c>
      <c r="H134">
        <f t="shared" si="5"/>
        <v>2</v>
      </c>
    </row>
    <row r="135" spans="1:8" x14ac:dyDescent="0.35">
      <c r="A135" t="s">
        <v>74</v>
      </c>
      <c r="B135">
        <v>22</v>
      </c>
      <c r="C135">
        <v>15</v>
      </c>
      <c r="D135" s="11" t="s">
        <v>51</v>
      </c>
      <c r="E135" s="11" t="str">
        <f>INDEX('Group Reference Table'!$B$3:$B$17,MATCH('Failure Log'!D135,'Group Reference Table'!$A$3:$A$17,0))</f>
        <v>Feeder/Feeding</v>
      </c>
      <c r="F135" s="2" t="s">
        <v>44</v>
      </c>
      <c r="G135">
        <f t="shared" si="4"/>
        <v>10</v>
      </c>
      <c r="H135">
        <f t="shared" si="5"/>
        <v>2</v>
      </c>
    </row>
    <row r="136" spans="1:8" x14ac:dyDescent="0.35">
      <c r="A136" t="s">
        <v>15</v>
      </c>
      <c r="B136">
        <v>24</v>
      </c>
      <c r="C136">
        <v>15</v>
      </c>
      <c r="D136" s="11" t="s">
        <v>38</v>
      </c>
      <c r="E136" s="11" t="str">
        <f>INDEX('Group Reference Table'!$B$3:$B$17,MATCH('Failure Log'!D136,'Group Reference Table'!$A$3:$A$17,0))</f>
        <v>Electronic Communication</v>
      </c>
      <c r="F136" s="2" t="s">
        <v>157</v>
      </c>
      <c r="G136">
        <f t="shared" si="4"/>
        <v>26</v>
      </c>
      <c r="H136">
        <f t="shared" si="5"/>
        <v>5</v>
      </c>
    </row>
    <row r="137" spans="1:8" x14ac:dyDescent="0.35">
      <c r="A137" t="s">
        <v>23</v>
      </c>
      <c r="B137">
        <v>30</v>
      </c>
      <c r="C137">
        <v>15</v>
      </c>
      <c r="D137" s="11" t="s">
        <v>38</v>
      </c>
      <c r="E137" s="11" t="str">
        <f>INDEX('Group Reference Table'!$B$3:$B$17,MATCH('Failure Log'!D137,'Group Reference Table'!$A$3:$A$17,0))</f>
        <v>Electronic Communication</v>
      </c>
      <c r="F137" s="2" t="s">
        <v>135</v>
      </c>
      <c r="G137">
        <f t="shared" si="4"/>
        <v>11</v>
      </c>
      <c r="H137">
        <f t="shared" si="5"/>
        <v>2</v>
      </c>
    </row>
    <row r="138" spans="1:8" x14ac:dyDescent="0.35">
      <c r="A138" t="s">
        <v>82</v>
      </c>
      <c r="B138">
        <v>36</v>
      </c>
      <c r="C138">
        <v>15</v>
      </c>
      <c r="D138" s="11" t="s">
        <v>93</v>
      </c>
      <c r="E138" s="11" t="str">
        <f>INDEX('Group Reference Table'!$B$3:$B$17,MATCH('Failure Log'!D138,'Group Reference Table'!$A$3:$A$17,0))</f>
        <v>Cleaning</v>
      </c>
      <c r="F138" s="2" t="s">
        <v>158</v>
      </c>
      <c r="G138">
        <f t="shared" si="4"/>
        <v>11</v>
      </c>
      <c r="H138">
        <f t="shared" si="5"/>
        <v>2</v>
      </c>
    </row>
    <row r="139" spans="1:8" x14ac:dyDescent="0.35">
      <c r="A139" t="s">
        <v>82</v>
      </c>
      <c r="B139">
        <v>36</v>
      </c>
      <c r="C139">
        <v>15</v>
      </c>
      <c r="D139" s="11" t="s">
        <v>51</v>
      </c>
      <c r="E139" s="11" t="str">
        <f>INDEX('Group Reference Table'!$B$3:$B$17,MATCH('Failure Log'!D139,'Group Reference Table'!$A$3:$A$17,0))</f>
        <v>Feeder/Feeding</v>
      </c>
      <c r="F139" s="2" t="s">
        <v>52</v>
      </c>
      <c r="G139">
        <f t="shared" si="4"/>
        <v>4</v>
      </c>
      <c r="H139">
        <f t="shared" si="5"/>
        <v>1</v>
      </c>
    </row>
    <row r="140" spans="1:8" x14ac:dyDescent="0.35">
      <c r="A140" t="s">
        <v>152</v>
      </c>
      <c r="B140">
        <v>44</v>
      </c>
      <c r="C140">
        <v>15</v>
      </c>
      <c r="D140" s="11" t="s">
        <v>51</v>
      </c>
      <c r="E140" s="11" t="str">
        <f>INDEX('Group Reference Table'!$B$3:$B$17,MATCH('Failure Log'!D140,'Group Reference Table'!$A$3:$A$17,0))</f>
        <v>Feeder/Feeding</v>
      </c>
      <c r="F140" s="2" t="s">
        <v>159</v>
      </c>
      <c r="G140">
        <f t="shared" si="4"/>
        <v>15</v>
      </c>
      <c r="H140">
        <f t="shared" si="5"/>
        <v>2</v>
      </c>
    </row>
    <row r="141" spans="1:8" x14ac:dyDescent="0.35">
      <c r="A141" t="s">
        <v>130</v>
      </c>
      <c r="B141">
        <v>46</v>
      </c>
      <c r="C141">
        <v>15</v>
      </c>
      <c r="D141" s="11" t="s">
        <v>38</v>
      </c>
      <c r="E141" s="11" t="str">
        <f>INDEX('Group Reference Table'!$B$3:$B$17,MATCH('Failure Log'!D141,'Group Reference Table'!$A$3:$A$17,0))</f>
        <v>Electronic Communication</v>
      </c>
      <c r="F141" s="2" t="s">
        <v>39</v>
      </c>
      <c r="G141">
        <f t="shared" si="4"/>
        <v>6</v>
      </c>
      <c r="H141">
        <f t="shared" si="5"/>
        <v>1</v>
      </c>
    </row>
    <row r="142" spans="1:8" x14ac:dyDescent="0.35">
      <c r="A142" t="s">
        <v>56</v>
      </c>
      <c r="B142">
        <v>1</v>
      </c>
      <c r="C142">
        <v>16</v>
      </c>
      <c r="D142" s="11" t="s">
        <v>13</v>
      </c>
      <c r="E142" s="11" t="str">
        <f>INDEX('Group Reference Table'!$B$3:$B$17,MATCH('Failure Log'!D142,'Group Reference Table'!$A$3:$A$17,0))</f>
        <v>Feeder/Feeding</v>
      </c>
      <c r="F142" s="2" t="s">
        <v>160</v>
      </c>
      <c r="G142">
        <f t="shared" si="4"/>
        <v>41</v>
      </c>
      <c r="H142">
        <f t="shared" si="5"/>
        <v>10</v>
      </c>
    </row>
    <row r="143" spans="1:8" ht="29" x14ac:dyDescent="0.35">
      <c r="A143" t="s">
        <v>137</v>
      </c>
      <c r="B143">
        <v>2</v>
      </c>
      <c r="C143">
        <v>16</v>
      </c>
      <c r="D143" s="11" t="s">
        <v>13</v>
      </c>
      <c r="E143" s="11" t="str">
        <f>INDEX('Group Reference Table'!$B$3:$B$17,MATCH('Failure Log'!D143,'Group Reference Table'!$A$3:$A$17,0))</f>
        <v>Feeder/Feeding</v>
      </c>
      <c r="F143" s="2" t="s">
        <v>161</v>
      </c>
      <c r="G143">
        <f t="shared" si="4"/>
        <v>84</v>
      </c>
      <c r="H143">
        <f t="shared" si="5"/>
        <v>11</v>
      </c>
    </row>
    <row r="144" spans="1:8" ht="29" x14ac:dyDescent="0.35">
      <c r="A144" t="s">
        <v>137</v>
      </c>
      <c r="B144">
        <v>2</v>
      </c>
      <c r="C144">
        <v>16</v>
      </c>
      <c r="D144" s="11" t="s">
        <v>72</v>
      </c>
      <c r="E144" s="11" t="str">
        <f>INDEX('Group Reference Table'!$B$3:$B$17,MATCH('Failure Log'!D144,'Group Reference Table'!$A$3:$A$17,0))</f>
        <v>Compression</v>
      </c>
      <c r="F144" s="2" t="s">
        <v>162</v>
      </c>
      <c r="G144">
        <f t="shared" si="4"/>
        <v>91</v>
      </c>
      <c r="H144">
        <f t="shared" si="5"/>
        <v>14</v>
      </c>
    </row>
    <row r="145" spans="1:8" ht="43.5" x14ac:dyDescent="0.35">
      <c r="A145" t="s">
        <v>137</v>
      </c>
      <c r="B145">
        <v>2</v>
      </c>
      <c r="C145">
        <v>16</v>
      </c>
      <c r="D145" s="11" t="s">
        <v>8</v>
      </c>
      <c r="E145" s="11" t="str">
        <f>INDEX('Group Reference Table'!$B$3:$B$17,MATCH('Failure Log'!D145,'Group Reference Table'!$A$3:$A$17,0))</f>
        <v>Quality</v>
      </c>
      <c r="F145" s="2" t="s">
        <v>163</v>
      </c>
      <c r="G145">
        <f t="shared" si="4"/>
        <v>100</v>
      </c>
      <c r="H145">
        <f t="shared" si="5"/>
        <v>17</v>
      </c>
    </row>
    <row r="146" spans="1:8" ht="29" x14ac:dyDescent="0.35">
      <c r="A146" t="s">
        <v>164</v>
      </c>
      <c r="B146">
        <v>15</v>
      </c>
      <c r="C146">
        <v>16</v>
      </c>
      <c r="D146" s="11" t="s">
        <v>13</v>
      </c>
      <c r="E146" s="11" t="str">
        <f>INDEX('Group Reference Table'!$B$3:$B$17,MATCH('Failure Log'!D146,'Group Reference Table'!$A$3:$A$17,0))</f>
        <v>Feeder/Feeding</v>
      </c>
      <c r="F146" s="2" t="s">
        <v>165</v>
      </c>
      <c r="G146">
        <f t="shared" si="4"/>
        <v>81</v>
      </c>
      <c r="H146">
        <f t="shared" si="5"/>
        <v>11</v>
      </c>
    </row>
    <row r="147" spans="1:8" x14ac:dyDescent="0.35">
      <c r="A147" t="s">
        <v>164</v>
      </c>
      <c r="B147">
        <v>15</v>
      </c>
      <c r="C147">
        <v>16</v>
      </c>
      <c r="D147" s="11" t="s">
        <v>120</v>
      </c>
      <c r="E147" s="11" t="str">
        <f>INDEX('Group Reference Table'!$B$3:$B$17,MATCH('Failure Log'!D147,'Group Reference Table'!$A$3:$A$17,0))</f>
        <v>Blending</v>
      </c>
      <c r="F147" s="2" t="s">
        <v>166</v>
      </c>
      <c r="G147">
        <f t="shared" si="4"/>
        <v>29</v>
      </c>
      <c r="H147">
        <f t="shared" si="5"/>
        <v>5</v>
      </c>
    </row>
    <row r="148" spans="1:8" ht="58" x14ac:dyDescent="0.35">
      <c r="A148" t="s">
        <v>10</v>
      </c>
      <c r="B148">
        <v>19</v>
      </c>
      <c r="C148">
        <v>16</v>
      </c>
      <c r="D148" s="11" t="s">
        <v>72</v>
      </c>
      <c r="E148" s="11" t="str">
        <f>INDEX('Group Reference Table'!$B$3:$B$17,MATCH('Failure Log'!D148,'Group Reference Table'!$A$3:$A$17,0))</f>
        <v>Compression</v>
      </c>
      <c r="F148" s="2" t="s">
        <v>167</v>
      </c>
      <c r="G148">
        <f t="shared" si="4"/>
        <v>147</v>
      </c>
      <c r="H148">
        <f t="shared" si="5"/>
        <v>19</v>
      </c>
    </row>
    <row r="149" spans="1:8" x14ac:dyDescent="0.35">
      <c r="A149" t="s">
        <v>12</v>
      </c>
      <c r="B149">
        <v>21</v>
      </c>
      <c r="C149">
        <v>16</v>
      </c>
      <c r="D149" s="11" t="s">
        <v>13</v>
      </c>
      <c r="E149" s="11" t="str">
        <f>INDEX('Group Reference Table'!$B$3:$B$17,MATCH('Failure Log'!D149,'Group Reference Table'!$A$3:$A$17,0))</f>
        <v>Feeder/Feeding</v>
      </c>
      <c r="F149" s="2" t="s">
        <v>168</v>
      </c>
      <c r="G149">
        <f t="shared" si="4"/>
        <v>41</v>
      </c>
      <c r="H149">
        <f t="shared" si="5"/>
        <v>10</v>
      </c>
    </row>
    <row r="150" spans="1:8" x14ac:dyDescent="0.35">
      <c r="A150" t="s">
        <v>12</v>
      </c>
      <c r="B150">
        <v>21</v>
      </c>
      <c r="C150">
        <v>16</v>
      </c>
      <c r="D150" s="11" t="s">
        <v>72</v>
      </c>
      <c r="E150" s="11" t="str">
        <f>INDEX('Group Reference Table'!$B$3:$B$17,MATCH('Failure Log'!D150,'Group Reference Table'!$A$3:$A$17,0))</f>
        <v>Compression</v>
      </c>
      <c r="F150" s="2" t="s">
        <v>169</v>
      </c>
      <c r="G150">
        <f t="shared" si="4"/>
        <v>30</v>
      </c>
      <c r="H150">
        <f t="shared" si="5"/>
        <v>7</v>
      </c>
    </row>
    <row r="151" spans="1:8" ht="29" x14ac:dyDescent="0.35">
      <c r="A151" t="s">
        <v>21</v>
      </c>
      <c r="B151">
        <v>28</v>
      </c>
      <c r="C151">
        <v>16</v>
      </c>
      <c r="D151" s="11" t="s">
        <v>13</v>
      </c>
      <c r="E151" s="11" t="str">
        <f>INDEX('Group Reference Table'!$B$3:$B$17,MATCH('Failure Log'!D151,'Group Reference Table'!$A$3:$A$17,0))</f>
        <v>Feeder/Feeding</v>
      </c>
      <c r="F151" s="2" t="s">
        <v>131</v>
      </c>
      <c r="G151">
        <f t="shared" si="4"/>
        <v>81</v>
      </c>
      <c r="H151">
        <f t="shared" si="5"/>
        <v>11</v>
      </c>
    </row>
    <row r="152" spans="1:8" ht="29" x14ac:dyDescent="0.35">
      <c r="A152" t="s">
        <v>30</v>
      </c>
      <c r="B152">
        <v>32</v>
      </c>
      <c r="C152">
        <v>16</v>
      </c>
      <c r="D152" s="11" t="s">
        <v>13</v>
      </c>
      <c r="E152" s="11" t="str">
        <f>INDEX('Group Reference Table'!$B$3:$B$17,MATCH('Failure Log'!D152,'Group Reference Table'!$A$3:$A$17,0))</f>
        <v>Feeder/Feeding</v>
      </c>
      <c r="F152" s="2" t="s">
        <v>170</v>
      </c>
      <c r="G152">
        <f t="shared" si="4"/>
        <v>81</v>
      </c>
      <c r="H152">
        <f t="shared" si="5"/>
        <v>11</v>
      </c>
    </row>
    <row r="153" spans="1:8" ht="101.5" x14ac:dyDescent="0.35">
      <c r="A153" t="s">
        <v>79</v>
      </c>
      <c r="B153">
        <v>34</v>
      </c>
      <c r="C153">
        <v>16</v>
      </c>
      <c r="D153" s="11" t="s">
        <v>13</v>
      </c>
      <c r="E153" s="11" t="str">
        <f>INDEX('Group Reference Table'!$B$3:$B$17,MATCH('Failure Log'!D153,'Group Reference Table'!$A$3:$A$17,0))</f>
        <v>Feeder/Feeding</v>
      </c>
      <c r="F153" s="2" t="s">
        <v>171</v>
      </c>
      <c r="G153">
        <f t="shared" si="4"/>
        <v>337</v>
      </c>
      <c r="H153">
        <f t="shared" si="5"/>
        <v>58</v>
      </c>
    </row>
    <row r="154" spans="1:8" ht="29" x14ac:dyDescent="0.35">
      <c r="A154" t="s">
        <v>172</v>
      </c>
      <c r="B154">
        <v>40</v>
      </c>
      <c r="C154">
        <v>16</v>
      </c>
      <c r="D154" s="11" t="s">
        <v>13</v>
      </c>
      <c r="E154" s="11" t="str">
        <f>INDEX('Group Reference Table'!$B$3:$B$17,MATCH('Failure Log'!D154,'Group Reference Table'!$A$3:$A$17,0))</f>
        <v>Feeder/Feeding</v>
      </c>
      <c r="F154" s="2" t="s">
        <v>173</v>
      </c>
      <c r="G154">
        <f t="shared" si="4"/>
        <v>81</v>
      </c>
      <c r="H154">
        <f t="shared" si="5"/>
        <v>11</v>
      </c>
    </row>
    <row r="155" spans="1:8" ht="29" x14ac:dyDescent="0.35">
      <c r="A155" t="s">
        <v>174</v>
      </c>
      <c r="B155">
        <v>47</v>
      </c>
      <c r="C155">
        <v>16</v>
      </c>
      <c r="D155" s="11" t="s">
        <v>13</v>
      </c>
      <c r="E155" s="11" t="str">
        <f>INDEX('Group Reference Table'!$B$3:$B$17,MATCH('Failure Log'!D155,'Group Reference Table'!$A$3:$A$17,0))</f>
        <v>Feeder/Feeding</v>
      </c>
      <c r="F155" s="2" t="s">
        <v>125</v>
      </c>
      <c r="G155">
        <f t="shared" si="4"/>
        <v>82</v>
      </c>
      <c r="H155">
        <f t="shared" si="5"/>
        <v>11</v>
      </c>
    </row>
    <row r="156" spans="1:8" x14ac:dyDescent="0.35">
      <c r="A156" t="s">
        <v>56</v>
      </c>
      <c r="B156">
        <v>1</v>
      </c>
      <c r="C156">
        <v>16</v>
      </c>
      <c r="D156" s="11" t="s">
        <v>93</v>
      </c>
      <c r="E156" s="11" t="str">
        <f>INDEX('Group Reference Table'!$B$3:$B$17,MATCH('Failure Log'!D156,'Group Reference Table'!$A$3:$A$17,0))</f>
        <v>Cleaning</v>
      </c>
      <c r="F156" s="2" t="s">
        <v>175</v>
      </c>
      <c r="G156">
        <f t="shared" si="4"/>
        <v>7</v>
      </c>
      <c r="H156">
        <f t="shared" si="5"/>
        <v>3</v>
      </c>
    </row>
    <row r="157" spans="1:8" x14ac:dyDescent="0.35">
      <c r="A157" t="s">
        <v>137</v>
      </c>
      <c r="B157">
        <v>2</v>
      </c>
      <c r="C157">
        <v>16</v>
      </c>
      <c r="D157" s="11" t="s">
        <v>54</v>
      </c>
      <c r="E157" s="11" t="str">
        <f>INDEX('Group Reference Table'!$B$3:$B$17,MATCH('Failure Log'!D157,'Group Reference Table'!$A$3:$A$17,0))</f>
        <v>RTD/PAT</v>
      </c>
      <c r="F157" s="2" t="s">
        <v>176</v>
      </c>
      <c r="G157">
        <f t="shared" si="4"/>
        <v>16</v>
      </c>
      <c r="H157">
        <f t="shared" si="5"/>
        <v>3</v>
      </c>
    </row>
    <row r="158" spans="1:8" x14ac:dyDescent="0.35">
      <c r="A158" t="s">
        <v>164</v>
      </c>
      <c r="B158">
        <v>15</v>
      </c>
      <c r="C158">
        <v>16</v>
      </c>
      <c r="D158" s="11" t="s">
        <v>38</v>
      </c>
      <c r="E158" s="11" t="str">
        <f>INDEX('Group Reference Table'!$B$3:$B$17,MATCH('Failure Log'!D158,'Group Reference Table'!$A$3:$A$17,0))</f>
        <v>Electronic Communication</v>
      </c>
      <c r="F158" s="2" t="s">
        <v>177</v>
      </c>
      <c r="G158">
        <f t="shared" si="4"/>
        <v>11</v>
      </c>
      <c r="H158">
        <f t="shared" si="5"/>
        <v>2</v>
      </c>
    </row>
    <row r="159" spans="1:8" x14ac:dyDescent="0.35">
      <c r="A159" t="s">
        <v>12</v>
      </c>
      <c r="B159">
        <v>21</v>
      </c>
      <c r="C159">
        <v>16</v>
      </c>
      <c r="D159" s="11" t="s">
        <v>93</v>
      </c>
      <c r="E159" s="11" t="str">
        <f>INDEX('Group Reference Table'!$B$3:$B$17,MATCH('Failure Log'!D159,'Group Reference Table'!$A$3:$A$17,0))</f>
        <v>Cleaning</v>
      </c>
      <c r="F159" s="2" t="s">
        <v>178</v>
      </c>
      <c r="G159">
        <f t="shared" si="4"/>
        <v>8</v>
      </c>
      <c r="H159">
        <f t="shared" si="5"/>
        <v>2</v>
      </c>
    </row>
    <row r="160" spans="1:8" x14ac:dyDescent="0.35">
      <c r="A160" t="s">
        <v>21</v>
      </c>
      <c r="B160">
        <v>28</v>
      </c>
      <c r="C160">
        <v>16</v>
      </c>
      <c r="D160" s="11" t="s">
        <v>38</v>
      </c>
      <c r="E160" s="11" t="str">
        <f>INDEX('Group Reference Table'!$B$3:$B$17,MATCH('Failure Log'!D160,'Group Reference Table'!$A$3:$A$17,0))</f>
        <v>Electronic Communication</v>
      </c>
      <c r="F160" s="2" t="s">
        <v>179</v>
      </c>
      <c r="G160">
        <f t="shared" si="4"/>
        <v>11</v>
      </c>
      <c r="H160">
        <f t="shared" si="5"/>
        <v>2</v>
      </c>
    </row>
    <row r="161" spans="1:8" ht="29" x14ac:dyDescent="0.35">
      <c r="A161" t="s">
        <v>30</v>
      </c>
      <c r="B161">
        <v>32</v>
      </c>
      <c r="C161">
        <v>16</v>
      </c>
      <c r="D161" s="11" t="s">
        <v>38</v>
      </c>
      <c r="E161" s="11" t="str">
        <f>INDEX('Group Reference Table'!$B$3:$B$17,MATCH('Failure Log'!D161,'Group Reference Table'!$A$3:$A$17,0))</f>
        <v>Electronic Communication</v>
      </c>
      <c r="F161" s="2" t="s">
        <v>170</v>
      </c>
      <c r="G161">
        <f t="shared" si="4"/>
        <v>81</v>
      </c>
      <c r="H161">
        <f t="shared" si="5"/>
        <v>11</v>
      </c>
    </row>
    <row r="162" spans="1:8" x14ac:dyDescent="0.35">
      <c r="A162" t="s">
        <v>79</v>
      </c>
      <c r="B162">
        <v>34</v>
      </c>
      <c r="C162">
        <v>16</v>
      </c>
      <c r="D162" s="11" t="s">
        <v>42</v>
      </c>
      <c r="E162" s="11" t="str">
        <f>INDEX('Group Reference Table'!$B$3:$B$17,MATCH('Failure Log'!D162,'Group Reference Table'!$A$3:$A$17,0))</f>
        <v>Feeder/Feeding</v>
      </c>
      <c r="F162" s="2" t="s">
        <v>180</v>
      </c>
      <c r="G162">
        <f t="shared" si="4"/>
        <v>22</v>
      </c>
      <c r="H162">
        <f t="shared" si="5"/>
        <v>3</v>
      </c>
    </row>
    <row r="163" spans="1:8" x14ac:dyDescent="0.35">
      <c r="A163" t="s">
        <v>172</v>
      </c>
      <c r="B163">
        <v>40</v>
      </c>
      <c r="C163">
        <v>16</v>
      </c>
      <c r="D163" s="11" t="s">
        <v>38</v>
      </c>
      <c r="E163" s="11" t="str">
        <f>INDEX('Group Reference Table'!$B$3:$B$17,MATCH('Failure Log'!D163,'Group Reference Table'!$A$3:$A$17,0))</f>
        <v>Electronic Communication</v>
      </c>
      <c r="F163" s="2" t="s">
        <v>101</v>
      </c>
      <c r="G163">
        <f t="shared" si="4"/>
        <v>10</v>
      </c>
      <c r="H163">
        <f t="shared" si="5"/>
        <v>2</v>
      </c>
    </row>
    <row r="164" spans="1:8" x14ac:dyDescent="0.35">
      <c r="A164" t="s">
        <v>174</v>
      </c>
      <c r="B164">
        <v>47</v>
      </c>
      <c r="C164">
        <v>16</v>
      </c>
      <c r="D164" s="11" t="s">
        <v>38</v>
      </c>
      <c r="E164" s="11" t="str">
        <f>INDEX('Group Reference Table'!$B$3:$B$17,MATCH('Failure Log'!D164,'Group Reference Table'!$A$3:$A$17,0))</f>
        <v>Electronic Communication</v>
      </c>
      <c r="F164" s="2" t="s">
        <v>181</v>
      </c>
      <c r="G164">
        <f t="shared" si="4"/>
        <v>12</v>
      </c>
      <c r="H164">
        <f t="shared" si="5"/>
        <v>3</v>
      </c>
    </row>
    <row r="165" spans="1:8" ht="29" x14ac:dyDescent="0.35">
      <c r="A165" t="s">
        <v>182</v>
      </c>
      <c r="B165">
        <v>6</v>
      </c>
      <c r="C165">
        <v>17</v>
      </c>
      <c r="D165" s="11" t="s">
        <v>13</v>
      </c>
      <c r="E165" s="11" t="str">
        <f>INDEX('Group Reference Table'!$B$3:$B$17,MATCH('Failure Log'!D165,'Group Reference Table'!$A$3:$A$17,0))</f>
        <v>Feeder/Feeding</v>
      </c>
      <c r="F165" s="2" t="s">
        <v>124</v>
      </c>
      <c r="G165">
        <f t="shared" si="4"/>
        <v>81</v>
      </c>
      <c r="H165">
        <f t="shared" si="5"/>
        <v>11</v>
      </c>
    </row>
    <row r="166" spans="1:8" ht="29" x14ac:dyDescent="0.35">
      <c r="A166" t="s">
        <v>63</v>
      </c>
      <c r="B166">
        <v>10</v>
      </c>
      <c r="C166">
        <v>17</v>
      </c>
      <c r="D166" s="11" t="s">
        <v>13</v>
      </c>
      <c r="E166" s="11" t="str">
        <f>INDEX('Group Reference Table'!$B$3:$B$17,MATCH('Failure Log'!D166,'Group Reference Table'!$A$3:$A$17,0))</f>
        <v>Feeder/Feeding</v>
      </c>
      <c r="F166" s="2" t="s">
        <v>183</v>
      </c>
      <c r="G166">
        <f t="shared" si="4"/>
        <v>84</v>
      </c>
      <c r="H166">
        <f t="shared" si="5"/>
        <v>11</v>
      </c>
    </row>
    <row r="167" spans="1:8" ht="72.5" x14ac:dyDescent="0.35">
      <c r="A167" t="s">
        <v>117</v>
      </c>
      <c r="B167">
        <v>14</v>
      </c>
      <c r="C167">
        <v>17</v>
      </c>
      <c r="D167" s="11" t="s">
        <v>13</v>
      </c>
      <c r="E167" s="11" t="str">
        <f>INDEX('Group Reference Table'!$B$3:$B$17,MATCH('Failure Log'!D167,'Group Reference Table'!$A$3:$A$17,0))</f>
        <v>Feeder/Feeding</v>
      </c>
      <c r="F167" s="2" t="s">
        <v>184</v>
      </c>
      <c r="G167">
        <f t="shared" si="4"/>
        <v>169</v>
      </c>
      <c r="H167">
        <f t="shared" si="5"/>
        <v>21</v>
      </c>
    </row>
    <row r="168" spans="1:8" ht="29" x14ac:dyDescent="0.35">
      <c r="A168" t="s">
        <v>12</v>
      </c>
      <c r="B168">
        <v>21</v>
      </c>
      <c r="C168">
        <v>17</v>
      </c>
      <c r="D168" s="11" t="s">
        <v>13</v>
      </c>
      <c r="E168" s="11" t="str">
        <f>INDEX('Group Reference Table'!$B$3:$B$17,MATCH('Failure Log'!D168,'Group Reference Table'!$A$3:$A$17,0))</f>
        <v>Feeder/Feeding</v>
      </c>
      <c r="F168" s="2" t="s">
        <v>140</v>
      </c>
      <c r="G168">
        <f t="shared" si="4"/>
        <v>81</v>
      </c>
      <c r="H168">
        <f t="shared" si="5"/>
        <v>11</v>
      </c>
    </row>
    <row r="169" spans="1:8" x14ac:dyDescent="0.35">
      <c r="A169" t="s">
        <v>37</v>
      </c>
      <c r="B169">
        <v>23</v>
      </c>
      <c r="C169">
        <v>17</v>
      </c>
      <c r="D169" s="11" t="s">
        <v>13</v>
      </c>
      <c r="E169" s="11" t="str">
        <f>INDEX('Group Reference Table'!$B$3:$B$17,MATCH('Failure Log'!D169,'Group Reference Table'!$A$3:$A$17,0))</f>
        <v>Feeder/Feeding</v>
      </c>
      <c r="F169" s="2" t="s">
        <v>185</v>
      </c>
      <c r="G169">
        <f t="shared" si="4"/>
        <v>14</v>
      </c>
      <c r="H169">
        <f t="shared" si="5"/>
        <v>2</v>
      </c>
    </row>
    <row r="170" spans="1:8" x14ac:dyDescent="0.35">
      <c r="A170" t="s">
        <v>15</v>
      </c>
      <c r="B170">
        <v>24</v>
      </c>
      <c r="C170">
        <v>17</v>
      </c>
      <c r="D170" s="11" t="s">
        <v>13</v>
      </c>
      <c r="E170" s="11" t="str">
        <f>INDEX('Group Reference Table'!$B$3:$B$17,MATCH('Failure Log'!D170,'Group Reference Table'!$A$3:$A$17,0))</f>
        <v>Feeder/Feeding</v>
      </c>
      <c r="F170" s="2" t="s">
        <v>186</v>
      </c>
      <c r="G170">
        <f t="shared" si="4"/>
        <v>29</v>
      </c>
      <c r="H170">
        <f t="shared" si="5"/>
        <v>6</v>
      </c>
    </row>
    <row r="171" spans="1:8" x14ac:dyDescent="0.35">
      <c r="A171" t="s">
        <v>182</v>
      </c>
      <c r="B171">
        <v>6</v>
      </c>
      <c r="C171">
        <v>17</v>
      </c>
      <c r="D171" s="11" t="s">
        <v>38</v>
      </c>
      <c r="E171" s="11" t="str">
        <f>INDEX('Group Reference Table'!$B$3:$B$17,MATCH('Failure Log'!D171,'Group Reference Table'!$A$3:$A$17,0))</f>
        <v>Electronic Communication</v>
      </c>
      <c r="F171" s="2" t="s">
        <v>44</v>
      </c>
      <c r="G171">
        <f t="shared" si="4"/>
        <v>10</v>
      </c>
      <c r="H171">
        <f t="shared" si="5"/>
        <v>2</v>
      </c>
    </row>
    <row r="172" spans="1:8" x14ac:dyDescent="0.35">
      <c r="A172" t="s">
        <v>63</v>
      </c>
      <c r="B172">
        <v>10</v>
      </c>
      <c r="C172">
        <v>17</v>
      </c>
      <c r="D172" s="11" t="s">
        <v>38</v>
      </c>
      <c r="E172" s="11" t="str">
        <f>INDEX('Group Reference Table'!$B$3:$B$17,MATCH('Failure Log'!D172,'Group Reference Table'!$A$3:$A$17,0))</f>
        <v>Electronic Communication</v>
      </c>
      <c r="F172" s="2" t="s">
        <v>154</v>
      </c>
      <c r="G172">
        <f t="shared" si="4"/>
        <v>13</v>
      </c>
      <c r="H172">
        <f t="shared" si="5"/>
        <v>2</v>
      </c>
    </row>
    <row r="173" spans="1:8" x14ac:dyDescent="0.35">
      <c r="A173" t="s">
        <v>117</v>
      </c>
      <c r="B173">
        <v>14</v>
      </c>
      <c r="C173">
        <v>17</v>
      </c>
      <c r="D173" s="11" t="s">
        <v>38</v>
      </c>
      <c r="E173" s="11" t="str">
        <f>INDEX('Group Reference Table'!$B$3:$B$17,MATCH('Failure Log'!D173,'Group Reference Table'!$A$3:$A$17,0))</f>
        <v>Electronic Communication</v>
      </c>
      <c r="F173" s="2" t="s">
        <v>187</v>
      </c>
      <c r="G173">
        <f t="shared" si="4"/>
        <v>25</v>
      </c>
      <c r="H173">
        <f t="shared" si="5"/>
        <v>3</v>
      </c>
    </row>
    <row r="174" spans="1:8" x14ac:dyDescent="0.35">
      <c r="A174" t="s">
        <v>12</v>
      </c>
      <c r="B174">
        <v>21</v>
      </c>
      <c r="C174">
        <v>17</v>
      </c>
      <c r="D174" s="11" t="s">
        <v>38</v>
      </c>
      <c r="E174" s="11" t="str">
        <f>INDEX('Group Reference Table'!$B$3:$B$17,MATCH('Failure Log'!D174,'Group Reference Table'!$A$3:$A$17,0))</f>
        <v>Electronic Communication</v>
      </c>
      <c r="F174" s="2" t="s">
        <v>188</v>
      </c>
      <c r="G174">
        <f t="shared" si="4"/>
        <v>10</v>
      </c>
      <c r="H174">
        <f t="shared" si="5"/>
        <v>2</v>
      </c>
    </row>
    <row r="177" spans="7:8" x14ac:dyDescent="0.35">
      <c r="G177">
        <f>MAX(G2:G174)</f>
        <v>624</v>
      </c>
      <c r="H177">
        <f>MAX(H2:H174)</f>
        <v>108</v>
      </c>
    </row>
    <row r="178" spans="7:8" x14ac:dyDescent="0.35">
      <c r="G178">
        <f>MIN(G2:G174)</f>
        <v>3</v>
      </c>
      <c r="H178">
        <f>MIN(H2:H174)</f>
        <v>1</v>
      </c>
    </row>
  </sheetData>
  <autoFilter ref="A1:F17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8993-BA93-4A8B-A238-0FCD9EEEA185}">
  <dimension ref="A3:B14"/>
  <sheetViews>
    <sheetView workbookViewId="0">
      <selection activeCell="O10" sqref="O10"/>
    </sheetView>
  </sheetViews>
  <sheetFormatPr defaultRowHeight="14.5" x14ac:dyDescent="0.35"/>
  <cols>
    <col min="1" max="1" width="22.81640625" bestFit="1" customWidth="1"/>
    <col min="2" max="2" width="20.36328125" bestFit="1" customWidth="1"/>
  </cols>
  <sheetData>
    <row r="3" spans="1:2" x14ac:dyDescent="0.35">
      <c r="A3" s="5" t="s">
        <v>189</v>
      </c>
      <c r="B3" t="s">
        <v>197</v>
      </c>
    </row>
    <row r="4" spans="1:2" x14ac:dyDescent="0.35">
      <c r="A4" s="6" t="s">
        <v>49</v>
      </c>
      <c r="B4">
        <v>5</v>
      </c>
    </row>
    <row r="5" spans="1:2" x14ac:dyDescent="0.35">
      <c r="A5" s="6" t="s">
        <v>120</v>
      </c>
      <c r="B5">
        <v>4</v>
      </c>
    </row>
    <row r="6" spans="1:2" x14ac:dyDescent="0.35">
      <c r="A6" s="6" t="s">
        <v>93</v>
      </c>
      <c r="B6">
        <v>13</v>
      </c>
    </row>
    <row r="7" spans="1:2" x14ac:dyDescent="0.35">
      <c r="A7" s="6" t="s">
        <v>72</v>
      </c>
      <c r="B7">
        <v>11</v>
      </c>
    </row>
    <row r="8" spans="1:2" x14ac:dyDescent="0.35">
      <c r="A8" s="6" t="s">
        <v>38</v>
      </c>
      <c r="B8">
        <v>29</v>
      </c>
    </row>
    <row r="9" spans="1:2" x14ac:dyDescent="0.35">
      <c r="A9" s="6" t="s">
        <v>195</v>
      </c>
      <c r="B9">
        <v>77</v>
      </c>
    </row>
    <row r="10" spans="1:2" x14ac:dyDescent="0.35">
      <c r="A10" s="6" t="s">
        <v>40</v>
      </c>
      <c r="B10">
        <v>2</v>
      </c>
    </row>
    <row r="11" spans="1:2" x14ac:dyDescent="0.35">
      <c r="A11" s="6" t="s">
        <v>8</v>
      </c>
      <c r="B11">
        <v>11</v>
      </c>
    </row>
    <row r="12" spans="1:2" x14ac:dyDescent="0.35">
      <c r="A12" s="6" t="s">
        <v>6</v>
      </c>
      <c r="B12">
        <v>20</v>
      </c>
    </row>
    <row r="13" spans="1:2" x14ac:dyDescent="0.35">
      <c r="A13" s="6" t="s">
        <v>196</v>
      </c>
      <c r="B13">
        <v>1</v>
      </c>
    </row>
    <row r="14" spans="1:2" x14ac:dyDescent="0.35">
      <c r="A14" s="6" t="s">
        <v>190</v>
      </c>
      <c r="B14">
        <v>173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976A7-A51A-4B53-ACAE-7A2309F7FADB}">
  <dimension ref="A1:F80"/>
  <sheetViews>
    <sheetView topLeftCell="A63" workbookViewId="0">
      <selection activeCell="F1" sqref="F1"/>
    </sheetView>
  </sheetViews>
  <sheetFormatPr defaultRowHeight="14.5" x14ac:dyDescent="0.35"/>
  <cols>
    <col min="1" max="1" width="14.7265625" bestFit="1" customWidth="1"/>
    <col min="2" max="2" width="12.26953125" bestFit="1" customWidth="1"/>
    <col min="3" max="3" width="8.81640625" bestFit="1" customWidth="1"/>
    <col min="4" max="4" width="11.6328125" bestFit="1" customWidth="1"/>
    <col min="5" max="5" width="13.90625" bestFit="1" customWidth="1"/>
    <col min="6" max="6" width="106.6328125" style="12" customWidth="1"/>
  </cols>
  <sheetData>
    <row r="1" spans="1:6" x14ac:dyDescent="0.35">
      <c r="A1" s="7" t="s">
        <v>198</v>
      </c>
    </row>
    <row r="3" spans="1:6" x14ac:dyDescent="0.35">
      <c r="A3" t="s">
        <v>0</v>
      </c>
      <c r="B3" t="s">
        <v>1</v>
      </c>
      <c r="C3" t="s">
        <v>2</v>
      </c>
      <c r="D3" t="s">
        <v>3</v>
      </c>
      <c r="E3" t="s">
        <v>191</v>
      </c>
      <c r="F3" s="12" t="s">
        <v>4</v>
      </c>
    </row>
    <row r="4" spans="1:6" x14ac:dyDescent="0.35">
      <c r="A4" t="s">
        <v>15</v>
      </c>
      <c r="B4">
        <v>24</v>
      </c>
      <c r="C4">
        <v>17</v>
      </c>
      <c r="D4" t="s">
        <v>13</v>
      </c>
      <c r="E4" t="s">
        <v>195</v>
      </c>
      <c r="F4" s="12" t="s">
        <v>186</v>
      </c>
    </row>
    <row r="5" spans="1:6" x14ac:dyDescent="0.35">
      <c r="A5" t="s">
        <v>37</v>
      </c>
      <c r="B5">
        <v>23</v>
      </c>
      <c r="C5">
        <v>17</v>
      </c>
      <c r="D5" t="s">
        <v>13</v>
      </c>
      <c r="E5" t="s">
        <v>195</v>
      </c>
      <c r="F5" s="12" t="s">
        <v>185</v>
      </c>
    </row>
    <row r="6" spans="1:6" x14ac:dyDescent="0.35">
      <c r="A6" t="s">
        <v>12</v>
      </c>
      <c r="B6">
        <v>21</v>
      </c>
      <c r="C6">
        <v>17</v>
      </c>
      <c r="D6" t="s">
        <v>13</v>
      </c>
      <c r="E6" t="s">
        <v>195</v>
      </c>
      <c r="F6" s="12" t="s">
        <v>140</v>
      </c>
    </row>
    <row r="7" spans="1:6" x14ac:dyDescent="0.35">
      <c r="A7" t="s">
        <v>12</v>
      </c>
      <c r="B7">
        <v>4</v>
      </c>
      <c r="C7">
        <v>12</v>
      </c>
      <c r="D7" t="s">
        <v>13</v>
      </c>
      <c r="E7" t="s">
        <v>195</v>
      </c>
      <c r="F7" s="12" t="s">
        <v>14</v>
      </c>
    </row>
    <row r="8" spans="1:6" ht="43.5" x14ac:dyDescent="0.35">
      <c r="A8" t="s">
        <v>117</v>
      </c>
      <c r="B8">
        <v>14</v>
      </c>
      <c r="C8">
        <v>17</v>
      </c>
      <c r="D8" t="s">
        <v>13</v>
      </c>
      <c r="E8" t="s">
        <v>195</v>
      </c>
      <c r="F8" s="12" t="s">
        <v>184</v>
      </c>
    </row>
    <row r="9" spans="1:6" x14ac:dyDescent="0.35">
      <c r="A9" t="s">
        <v>63</v>
      </c>
      <c r="B9">
        <v>10</v>
      </c>
      <c r="C9">
        <v>17</v>
      </c>
      <c r="D9" t="s">
        <v>13</v>
      </c>
      <c r="E9" t="s">
        <v>195</v>
      </c>
      <c r="F9" s="12" t="s">
        <v>183</v>
      </c>
    </row>
    <row r="10" spans="1:6" x14ac:dyDescent="0.35">
      <c r="A10" t="s">
        <v>182</v>
      </c>
      <c r="B10">
        <v>6</v>
      </c>
      <c r="C10">
        <v>17</v>
      </c>
      <c r="D10" t="s">
        <v>13</v>
      </c>
      <c r="E10" t="s">
        <v>195</v>
      </c>
      <c r="F10" s="12" t="s">
        <v>124</v>
      </c>
    </row>
    <row r="11" spans="1:6" x14ac:dyDescent="0.35">
      <c r="A11" t="s">
        <v>21</v>
      </c>
      <c r="B11">
        <v>11</v>
      </c>
      <c r="C11">
        <v>12</v>
      </c>
      <c r="D11" t="s">
        <v>13</v>
      </c>
      <c r="E11" t="s">
        <v>195</v>
      </c>
      <c r="F11" s="12" t="s">
        <v>22</v>
      </c>
    </row>
    <row r="12" spans="1:6" x14ac:dyDescent="0.35">
      <c r="A12" t="s">
        <v>23</v>
      </c>
      <c r="B12">
        <v>13</v>
      </c>
      <c r="C12">
        <v>12</v>
      </c>
      <c r="D12" t="s">
        <v>13</v>
      </c>
      <c r="E12" t="s">
        <v>195</v>
      </c>
      <c r="F12" s="12" t="s">
        <v>24</v>
      </c>
    </row>
    <row r="13" spans="1:6" x14ac:dyDescent="0.35">
      <c r="A13" t="s">
        <v>79</v>
      </c>
      <c r="B13">
        <v>34</v>
      </c>
      <c r="C13">
        <v>16</v>
      </c>
      <c r="D13" t="s">
        <v>42</v>
      </c>
      <c r="E13" t="s">
        <v>195</v>
      </c>
      <c r="F13" s="12" t="s">
        <v>180</v>
      </c>
    </row>
    <row r="14" spans="1:6" x14ac:dyDescent="0.35">
      <c r="A14" t="s">
        <v>26</v>
      </c>
      <c r="B14">
        <v>14</v>
      </c>
      <c r="C14">
        <v>12</v>
      </c>
      <c r="D14" t="s">
        <v>13</v>
      </c>
      <c r="E14" t="s">
        <v>195</v>
      </c>
      <c r="F14" s="12" t="s">
        <v>27</v>
      </c>
    </row>
    <row r="15" spans="1:6" x14ac:dyDescent="0.35">
      <c r="A15" t="s">
        <v>174</v>
      </c>
      <c r="B15">
        <v>47</v>
      </c>
      <c r="C15">
        <v>16</v>
      </c>
      <c r="D15" t="s">
        <v>13</v>
      </c>
      <c r="E15" t="s">
        <v>195</v>
      </c>
      <c r="F15" s="12" t="s">
        <v>125</v>
      </c>
    </row>
    <row r="16" spans="1:6" x14ac:dyDescent="0.35">
      <c r="A16" t="s">
        <v>172</v>
      </c>
      <c r="B16">
        <v>40</v>
      </c>
      <c r="C16">
        <v>16</v>
      </c>
      <c r="D16" t="s">
        <v>13</v>
      </c>
      <c r="E16" t="s">
        <v>195</v>
      </c>
      <c r="F16" s="12" t="s">
        <v>173</v>
      </c>
    </row>
    <row r="17" spans="1:6" x14ac:dyDescent="0.35">
      <c r="A17" t="s">
        <v>30</v>
      </c>
      <c r="B17">
        <v>15</v>
      </c>
      <c r="C17">
        <v>12</v>
      </c>
      <c r="D17" t="s">
        <v>13</v>
      </c>
      <c r="E17" t="s">
        <v>195</v>
      </c>
      <c r="F17" s="12" t="s">
        <v>31</v>
      </c>
    </row>
    <row r="18" spans="1:6" ht="43.5" x14ac:dyDescent="0.35">
      <c r="A18" t="s">
        <v>32</v>
      </c>
      <c r="B18">
        <v>16</v>
      </c>
      <c r="C18">
        <v>12</v>
      </c>
      <c r="D18" t="s">
        <v>13</v>
      </c>
      <c r="E18" t="s">
        <v>195</v>
      </c>
      <c r="F18" s="12" t="s">
        <v>33</v>
      </c>
    </row>
    <row r="19" spans="1:6" ht="29" x14ac:dyDescent="0.35">
      <c r="A19" t="s">
        <v>34</v>
      </c>
      <c r="B19">
        <v>22</v>
      </c>
      <c r="C19">
        <v>12</v>
      </c>
      <c r="D19" t="s">
        <v>13</v>
      </c>
      <c r="E19" t="s">
        <v>195</v>
      </c>
      <c r="F19" s="12" t="s">
        <v>35</v>
      </c>
    </row>
    <row r="20" spans="1:6" ht="29" x14ac:dyDescent="0.35">
      <c r="A20" t="s">
        <v>79</v>
      </c>
      <c r="B20">
        <v>34</v>
      </c>
      <c r="C20">
        <v>16</v>
      </c>
      <c r="D20" t="s">
        <v>13</v>
      </c>
      <c r="E20" t="s">
        <v>195</v>
      </c>
      <c r="F20" s="12" t="s">
        <v>171</v>
      </c>
    </row>
    <row r="21" spans="1:6" x14ac:dyDescent="0.35">
      <c r="A21" t="s">
        <v>30</v>
      </c>
      <c r="B21">
        <v>32</v>
      </c>
      <c r="C21">
        <v>16</v>
      </c>
      <c r="D21" t="s">
        <v>13</v>
      </c>
      <c r="E21" t="s">
        <v>195</v>
      </c>
      <c r="F21" s="12" t="s">
        <v>170</v>
      </c>
    </row>
    <row r="22" spans="1:6" x14ac:dyDescent="0.35">
      <c r="A22" t="s">
        <v>21</v>
      </c>
      <c r="B22">
        <v>28</v>
      </c>
      <c r="C22">
        <v>16</v>
      </c>
      <c r="D22" t="s">
        <v>13</v>
      </c>
      <c r="E22" t="s">
        <v>195</v>
      </c>
      <c r="F22" s="12" t="s">
        <v>131</v>
      </c>
    </row>
    <row r="23" spans="1:6" x14ac:dyDescent="0.35">
      <c r="A23" t="s">
        <v>12</v>
      </c>
      <c r="B23">
        <v>21</v>
      </c>
      <c r="C23">
        <v>16</v>
      </c>
      <c r="D23" t="s">
        <v>13</v>
      </c>
      <c r="E23" t="s">
        <v>195</v>
      </c>
      <c r="F23" s="12" t="s">
        <v>168</v>
      </c>
    </row>
    <row r="24" spans="1:6" x14ac:dyDescent="0.35">
      <c r="A24" t="s">
        <v>23</v>
      </c>
      <c r="B24">
        <v>13</v>
      </c>
      <c r="C24">
        <v>12</v>
      </c>
      <c r="D24" t="s">
        <v>42</v>
      </c>
      <c r="E24" t="s">
        <v>195</v>
      </c>
      <c r="F24" s="12" t="s">
        <v>43</v>
      </c>
    </row>
    <row r="25" spans="1:6" x14ac:dyDescent="0.35">
      <c r="A25" t="s">
        <v>164</v>
      </c>
      <c r="B25">
        <v>15</v>
      </c>
      <c r="C25">
        <v>16</v>
      </c>
      <c r="D25" t="s">
        <v>13</v>
      </c>
      <c r="E25" t="s">
        <v>195</v>
      </c>
      <c r="F25" s="12" t="s">
        <v>165</v>
      </c>
    </row>
    <row r="26" spans="1:6" x14ac:dyDescent="0.35">
      <c r="A26" t="s">
        <v>32</v>
      </c>
      <c r="B26">
        <v>16</v>
      </c>
      <c r="C26">
        <v>12</v>
      </c>
      <c r="D26" t="s">
        <v>42</v>
      </c>
      <c r="E26" t="s">
        <v>195</v>
      </c>
      <c r="F26" s="12" t="s">
        <v>45</v>
      </c>
    </row>
    <row r="27" spans="1:6" x14ac:dyDescent="0.35">
      <c r="A27" t="s">
        <v>137</v>
      </c>
      <c r="B27">
        <v>2</v>
      </c>
      <c r="C27">
        <v>16</v>
      </c>
      <c r="D27" t="s">
        <v>13</v>
      </c>
      <c r="E27" t="s">
        <v>195</v>
      </c>
      <c r="F27" s="12" t="s">
        <v>161</v>
      </c>
    </row>
    <row r="28" spans="1:6" x14ac:dyDescent="0.35">
      <c r="A28" t="s">
        <v>56</v>
      </c>
      <c r="B28">
        <v>1</v>
      </c>
      <c r="C28">
        <v>16</v>
      </c>
      <c r="D28" t="s">
        <v>13</v>
      </c>
      <c r="E28" t="s">
        <v>195</v>
      </c>
      <c r="F28" s="12" t="s">
        <v>160</v>
      </c>
    </row>
    <row r="29" spans="1:6" x14ac:dyDescent="0.35">
      <c r="A29" t="s">
        <v>48</v>
      </c>
      <c r="B29">
        <v>18</v>
      </c>
      <c r="C29">
        <v>12</v>
      </c>
      <c r="D29" t="s">
        <v>51</v>
      </c>
      <c r="E29" t="s">
        <v>195</v>
      </c>
      <c r="F29" s="12" t="s">
        <v>52</v>
      </c>
    </row>
    <row r="30" spans="1:6" x14ac:dyDescent="0.35">
      <c r="A30" t="s">
        <v>152</v>
      </c>
      <c r="B30">
        <v>44</v>
      </c>
      <c r="C30">
        <v>15</v>
      </c>
      <c r="D30" t="s">
        <v>51</v>
      </c>
      <c r="E30" t="s">
        <v>195</v>
      </c>
      <c r="F30" s="12" t="s">
        <v>159</v>
      </c>
    </row>
    <row r="31" spans="1:6" x14ac:dyDescent="0.35">
      <c r="A31" t="s">
        <v>56</v>
      </c>
      <c r="B31">
        <v>1</v>
      </c>
      <c r="C31">
        <v>13</v>
      </c>
      <c r="D31" t="s">
        <v>13</v>
      </c>
      <c r="E31" t="s">
        <v>195</v>
      </c>
      <c r="F31" s="12" t="s">
        <v>57</v>
      </c>
    </row>
    <row r="32" spans="1:6" x14ac:dyDescent="0.35">
      <c r="A32" t="s">
        <v>82</v>
      </c>
      <c r="B32">
        <v>36</v>
      </c>
      <c r="C32">
        <v>15</v>
      </c>
      <c r="D32" t="s">
        <v>51</v>
      </c>
      <c r="E32" t="s">
        <v>195</v>
      </c>
      <c r="F32" s="12" t="s">
        <v>52</v>
      </c>
    </row>
    <row r="33" spans="1:6" x14ac:dyDescent="0.35">
      <c r="A33" t="s">
        <v>74</v>
      </c>
      <c r="B33">
        <v>22</v>
      </c>
      <c r="C33">
        <v>15</v>
      </c>
      <c r="D33" t="s">
        <v>51</v>
      </c>
      <c r="E33" t="s">
        <v>195</v>
      </c>
      <c r="F33" s="12" t="s">
        <v>44</v>
      </c>
    </row>
    <row r="34" spans="1:6" x14ac:dyDescent="0.35">
      <c r="A34" t="s">
        <v>130</v>
      </c>
      <c r="B34">
        <v>46</v>
      </c>
      <c r="C34">
        <v>15</v>
      </c>
      <c r="D34" t="s">
        <v>13</v>
      </c>
      <c r="E34" t="s">
        <v>195</v>
      </c>
      <c r="F34" s="12" t="s">
        <v>140</v>
      </c>
    </row>
    <row r="35" spans="1:6" ht="29" x14ac:dyDescent="0.35">
      <c r="A35" t="s">
        <v>63</v>
      </c>
      <c r="B35">
        <v>10</v>
      </c>
      <c r="C35">
        <v>13</v>
      </c>
      <c r="D35" t="s">
        <v>13</v>
      </c>
      <c r="E35" t="s">
        <v>195</v>
      </c>
      <c r="F35" s="12" t="s">
        <v>64</v>
      </c>
    </row>
    <row r="36" spans="1:6" x14ac:dyDescent="0.35">
      <c r="A36" t="s">
        <v>65</v>
      </c>
      <c r="B36">
        <v>11</v>
      </c>
      <c r="C36">
        <v>13</v>
      </c>
      <c r="D36" t="s">
        <v>13</v>
      </c>
      <c r="E36" t="s">
        <v>195</v>
      </c>
      <c r="F36" s="12" t="s">
        <v>66</v>
      </c>
    </row>
    <row r="37" spans="1:6" x14ac:dyDescent="0.35">
      <c r="A37" t="s">
        <v>152</v>
      </c>
      <c r="B37">
        <v>44</v>
      </c>
      <c r="C37">
        <v>15</v>
      </c>
      <c r="D37" t="s">
        <v>13</v>
      </c>
      <c r="E37" t="s">
        <v>195</v>
      </c>
      <c r="F37" s="12" t="s">
        <v>153</v>
      </c>
    </row>
    <row r="38" spans="1:6" x14ac:dyDescent="0.35">
      <c r="A38" t="s">
        <v>34</v>
      </c>
      <c r="B38">
        <v>39</v>
      </c>
      <c r="C38">
        <v>15</v>
      </c>
      <c r="D38" t="s">
        <v>13</v>
      </c>
      <c r="E38" t="s">
        <v>195</v>
      </c>
      <c r="F38" s="12" t="s">
        <v>151</v>
      </c>
    </row>
    <row r="39" spans="1:6" x14ac:dyDescent="0.35">
      <c r="A39" t="s">
        <v>12</v>
      </c>
      <c r="B39">
        <v>21</v>
      </c>
      <c r="C39">
        <v>13</v>
      </c>
      <c r="D39" t="s">
        <v>13</v>
      </c>
      <c r="E39" t="s">
        <v>195</v>
      </c>
      <c r="F39" s="12" t="s">
        <v>71</v>
      </c>
    </row>
    <row r="40" spans="1:6" x14ac:dyDescent="0.35">
      <c r="A40" t="s">
        <v>82</v>
      </c>
      <c r="B40">
        <v>36</v>
      </c>
      <c r="C40">
        <v>15</v>
      </c>
      <c r="D40" t="s">
        <v>13</v>
      </c>
      <c r="E40" t="s">
        <v>195</v>
      </c>
      <c r="F40" s="12" t="s">
        <v>149</v>
      </c>
    </row>
    <row r="41" spans="1:6" x14ac:dyDescent="0.35">
      <c r="A41" t="s">
        <v>23</v>
      </c>
      <c r="B41">
        <v>30</v>
      </c>
      <c r="C41">
        <v>15</v>
      </c>
      <c r="D41" t="s">
        <v>13</v>
      </c>
      <c r="E41" t="s">
        <v>195</v>
      </c>
      <c r="F41" s="12" t="s">
        <v>148</v>
      </c>
    </row>
    <row r="42" spans="1:6" ht="43.5" x14ac:dyDescent="0.35">
      <c r="A42" t="s">
        <v>15</v>
      </c>
      <c r="B42">
        <v>24</v>
      </c>
      <c r="C42">
        <v>15</v>
      </c>
      <c r="D42" t="s">
        <v>13</v>
      </c>
      <c r="E42" t="s">
        <v>195</v>
      </c>
      <c r="F42" s="12" t="s">
        <v>147</v>
      </c>
    </row>
    <row r="43" spans="1:6" x14ac:dyDescent="0.35">
      <c r="A43" t="s">
        <v>21</v>
      </c>
      <c r="B43">
        <v>28</v>
      </c>
      <c r="C43">
        <v>13</v>
      </c>
      <c r="D43" t="s">
        <v>13</v>
      </c>
      <c r="E43" t="s">
        <v>195</v>
      </c>
      <c r="F43" s="12" t="s">
        <v>77</v>
      </c>
    </row>
    <row r="44" spans="1:6" x14ac:dyDescent="0.35">
      <c r="A44" t="s">
        <v>26</v>
      </c>
      <c r="B44">
        <v>31</v>
      </c>
      <c r="C44">
        <v>13</v>
      </c>
      <c r="D44" t="s">
        <v>13</v>
      </c>
      <c r="E44" t="s">
        <v>195</v>
      </c>
      <c r="F44" s="12" t="s">
        <v>78</v>
      </c>
    </row>
    <row r="45" spans="1:6" x14ac:dyDescent="0.35">
      <c r="A45" t="s">
        <v>79</v>
      </c>
      <c r="B45">
        <v>34</v>
      </c>
      <c r="C45">
        <v>13</v>
      </c>
      <c r="D45" t="s">
        <v>13</v>
      </c>
      <c r="E45" t="s">
        <v>195</v>
      </c>
      <c r="F45" s="12" t="s">
        <v>80</v>
      </c>
    </row>
    <row r="46" spans="1:6" x14ac:dyDescent="0.35">
      <c r="A46" t="s">
        <v>74</v>
      </c>
      <c r="B46">
        <v>22</v>
      </c>
      <c r="C46">
        <v>15</v>
      </c>
      <c r="D46" t="s">
        <v>13</v>
      </c>
      <c r="E46" t="s">
        <v>195</v>
      </c>
      <c r="F46" s="12" t="s">
        <v>146</v>
      </c>
    </row>
    <row r="47" spans="1:6" x14ac:dyDescent="0.35">
      <c r="A47" t="s">
        <v>12</v>
      </c>
      <c r="B47">
        <v>21</v>
      </c>
      <c r="C47">
        <v>15</v>
      </c>
      <c r="D47" t="s">
        <v>13</v>
      </c>
      <c r="E47" t="s">
        <v>195</v>
      </c>
      <c r="F47" s="12" t="s">
        <v>145</v>
      </c>
    </row>
    <row r="48" spans="1:6" ht="29" x14ac:dyDescent="0.35">
      <c r="A48" t="s">
        <v>117</v>
      </c>
      <c r="B48">
        <v>14</v>
      </c>
      <c r="C48">
        <v>15</v>
      </c>
      <c r="D48" t="s">
        <v>13</v>
      </c>
      <c r="E48" t="s">
        <v>195</v>
      </c>
      <c r="F48" s="12" t="s">
        <v>144</v>
      </c>
    </row>
    <row r="49" spans="1:6" x14ac:dyDescent="0.35">
      <c r="A49" t="s">
        <v>85</v>
      </c>
      <c r="B49">
        <v>38</v>
      </c>
      <c r="C49">
        <v>13</v>
      </c>
      <c r="D49" t="s">
        <v>13</v>
      </c>
      <c r="E49" t="s">
        <v>195</v>
      </c>
      <c r="F49" s="12" t="s">
        <v>86</v>
      </c>
    </row>
    <row r="50" spans="1:6" x14ac:dyDescent="0.35">
      <c r="A50" t="s">
        <v>34</v>
      </c>
      <c r="B50">
        <v>39</v>
      </c>
      <c r="C50">
        <v>13</v>
      </c>
      <c r="D50" t="s">
        <v>13</v>
      </c>
      <c r="E50" t="s">
        <v>195</v>
      </c>
      <c r="F50" s="12" t="s">
        <v>87</v>
      </c>
    </row>
    <row r="51" spans="1:6" x14ac:dyDescent="0.35">
      <c r="A51" t="s">
        <v>88</v>
      </c>
      <c r="B51">
        <v>43</v>
      </c>
      <c r="C51">
        <v>13</v>
      </c>
      <c r="D51" t="s">
        <v>13</v>
      </c>
      <c r="E51" t="s">
        <v>195</v>
      </c>
      <c r="F51" s="12" t="s">
        <v>89</v>
      </c>
    </row>
    <row r="52" spans="1:6" x14ac:dyDescent="0.35">
      <c r="A52" t="s">
        <v>90</v>
      </c>
      <c r="B52">
        <v>48</v>
      </c>
      <c r="C52">
        <v>13</v>
      </c>
      <c r="D52" t="s">
        <v>13</v>
      </c>
      <c r="E52" t="s">
        <v>195</v>
      </c>
      <c r="F52" s="12" t="s">
        <v>91</v>
      </c>
    </row>
    <row r="53" spans="1:6" x14ac:dyDescent="0.35">
      <c r="A53" t="s">
        <v>143</v>
      </c>
      <c r="B53">
        <v>13</v>
      </c>
      <c r="C53">
        <v>15</v>
      </c>
      <c r="D53" t="s">
        <v>13</v>
      </c>
      <c r="E53" t="s">
        <v>195</v>
      </c>
      <c r="F53" s="12" t="s">
        <v>138</v>
      </c>
    </row>
    <row r="54" spans="1:6" x14ac:dyDescent="0.35">
      <c r="A54" t="s">
        <v>65</v>
      </c>
      <c r="B54">
        <v>11</v>
      </c>
      <c r="C54">
        <v>15</v>
      </c>
      <c r="D54" t="s">
        <v>13</v>
      </c>
      <c r="E54" t="s">
        <v>195</v>
      </c>
      <c r="F54" s="12" t="s">
        <v>142</v>
      </c>
    </row>
    <row r="55" spans="1:6" x14ac:dyDescent="0.35">
      <c r="A55" t="s">
        <v>113</v>
      </c>
      <c r="B55">
        <v>8</v>
      </c>
      <c r="C55">
        <v>15</v>
      </c>
      <c r="D55" t="s">
        <v>13</v>
      </c>
      <c r="E55" t="s">
        <v>195</v>
      </c>
      <c r="F55" s="12" t="s">
        <v>141</v>
      </c>
    </row>
    <row r="56" spans="1:6" x14ac:dyDescent="0.35">
      <c r="A56" t="s">
        <v>58</v>
      </c>
      <c r="B56">
        <v>5</v>
      </c>
      <c r="C56">
        <v>15</v>
      </c>
      <c r="D56" t="s">
        <v>13</v>
      </c>
      <c r="E56" t="s">
        <v>195</v>
      </c>
      <c r="F56" s="12" t="s">
        <v>140</v>
      </c>
    </row>
    <row r="57" spans="1:6" x14ac:dyDescent="0.35">
      <c r="A57" t="s">
        <v>63</v>
      </c>
      <c r="B57">
        <v>10</v>
      </c>
      <c r="C57">
        <v>13</v>
      </c>
      <c r="D57" t="s">
        <v>42</v>
      </c>
      <c r="E57" t="s">
        <v>195</v>
      </c>
      <c r="F57" s="12" t="s">
        <v>52</v>
      </c>
    </row>
    <row r="58" spans="1:6" x14ac:dyDescent="0.35">
      <c r="A58" t="s">
        <v>109</v>
      </c>
      <c r="B58">
        <v>4</v>
      </c>
      <c r="C58">
        <v>15</v>
      </c>
      <c r="D58" t="s">
        <v>13</v>
      </c>
      <c r="E58" t="s">
        <v>195</v>
      </c>
      <c r="F58" s="12" t="s">
        <v>139</v>
      </c>
    </row>
    <row r="59" spans="1:6" x14ac:dyDescent="0.35">
      <c r="A59" t="s">
        <v>65</v>
      </c>
      <c r="B59">
        <v>11</v>
      </c>
      <c r="C59">
        <v>13</v>
      </c>
      <c r="D59" t="s">
        <v>42</v>
      </c>
      <c r="E59" t="s">
        <v>195</v>
      </c>
      <c r="F59" s="12" t="s">
        <v>52</v>
      </c>
    </row>
    <row r="60" spans="1:6" x14ac:dyDescent="0.35">
      <c r="A60" t="s">
        <v>67</v>
      </c>
      <c r="B60">
        <v>17</v>
      </c>
      <c r="C60">
        <v>13</v>
      </c>
      <c r="D60" t="s">
        <v>42</v>
      </c>
      <c r="E60" t="s">
        <v>195</v>
      </c>
      <c r="F60" s="12" t="s">
        <v>98</v>
      </c>
    </row>
    <row r="61" spans="1:6" x14ac:dyDescent="0.35">
      <c r="A61" t="s">
        <v>69</v>
      </c>
      <c r="B61">
        <v>20</v>
      </c>
      <c r="C61">
        <v>13</v>
      </c>
      <c r="D61" t="s">
        <v>42</v>
      </c>
      <c r="E61" t="s">
        <v>195</v>
      </c>
      <c r="F61" s="12" t="s">
        <v>98</v>
      </c>
    </row>
    <row r="62" spans="1:6" x14ac:dyDescent="0.35">
      <c r="A62" t="s">
        <v>137</v>
      </c>
      <c r="B62">
        <v>2</v>
      </c>
      <c r="C62">
        <v>15</v>
      </c>
      <c r="D62" t="s">
        <v>13</v>
      </c>
      <c r="E62" t="s">
        <v>195</v>
      </c>
      <c r="F62" s="12" t="s">
        <v>138</v>
      </c>
    </row>
    <row r="63" spans="1:6" x14ac:dyDescent="0.35">
      <c r="A63" t="s">
        <v>74</v>
      </c>
      <c r="B63">
        <v>22</v>
      </c>
      <c r="C63">
        <v>13</v>
      </c>
      <c r="D63" t="s">
        <v>42</v>
      </c>
      <c r="E63" t="s">
        <v>195</v>
      </c>
      <c r="F63" s="12" t="s">
        <v>98</v>
      </c>
    </row>
    <row r="64" spans="1:6" x14ac:dyDescent="0.35">
      <c r="A64" t="s">
        <v>90</v>
      </c>
      <c r="B64">
        <v>48</v>
      </c>
      <c r="C64">
        <v>14</v>
      </c>
      <c r="D64" t="s">
        <v>13</v>
      </c>
      <c r="E64" t="s">
        <v>195</v>
      </c>
      <c r="F64" s="12" t="s">
        <v>132</v>
      </c>
    </row>
    <row r="65" spans="1:6" x14ac:dyDescent="0.35">
      <c r="A65" t="s">
        <v>130</v>
      </c>
      <c r="B65">
        <v>46</v>
      </c>
      <c r="C65">
        <v>14</v>
      </c>
      <c r="D65" t="s">
        <v>13</v>
      </c>
      <c r="E65" t="s">
        <v>195</v>
      </c>
      <c r="F65" s="12" t="s">
        <v>131</v>
      </c>
    </row>
    <row r="66" spans="1:6" x14ac:dyDescent="0.35">
      <c r="A66" t="s">
        <v>53</v>
      </c>
      <c r="B66">
        <v>41</v>
      </c>
      <c r="C66">
        <v>14</v>
      </c>
      <c r="D66" t="s">
        <v>13</v>
      </c>
      <c r="E66" t="s">
        <v>195</v>
      </c>
      <c r="F66" s="12" t="s">
        <v>129</v>
      </c>
    </row>
    <row r="67" spans="1:6" x14ac:dyDescent="0.35">
      <c r="A67" t="s">
        <v>79</v>
      </c>
      <c r="B67">
        <v>34</v>
      </c>
      <c r="C67">
        <v>13</v>
      </c>
      <c r="D67" t="s">
        <v>51</v>
      </c>
      <c r="E67" t="s">
        <v>195</v>
      </c>
      <c r="F67" s="12" t="s">
        <v>103</v>
      </c>
    </row>
    <row r="68" spans="1:6" ht="29" x14ac:dyDescent="0.35">
      <c r="A68" t="s">
        <v>127</v>
      </c>
      <c r="B68">
        <v>37</v>
      </c>
      <c r="C68">
        <v>14</v>
      </c>
      <c r="D68" t="s">
        <v>13</v>
      </c>
      <c r="E68" t="s">
        <v>195</v>
      </c>
      <c r="F68" s="12" t="s">
        <v>128</v>
      </c>
    </row>
    <row r="69" spans="1:6" x14ac:dyDescent="0.35">
      <c r="A69" t="s">
        <v>82</v>
      </c>
      <c r="B69">
        <v>36</v>
      </c>
      <c r="C69">
        <v>14</v>
      </c>
      <c r="D69" t="s">
        <v>13</v>
      </c>
      <c r="E69" t="s">
        <v>195</v>
      </c>
      <c r="F69" s="12" t="s">
        <v>126</v>
      </c>
    </row>
    <row r="70" spans="1:6" x14ac:dyDescent="0.35">
      <c r="A70" t="s">
        <v>19</v>
      </c>
      <c r="B70">
        <v>27</v>
      </c>
      <c r="C70">
        <v>14</v>
      </c>
      <c r="D70" t="s">
        <v>13</v>
      </c>
      <c r="E70" t="s">
        <v>195</v>
      </c>
      <c r="F70" s="12" t="s">
        <v>125</v>
      </c>
    </row>
    <row r="71" spans="1:6" x14ac:dyDescent="0.35">
      <c r="A71" t="s">
        <v>17</v>
      </c>
      <c r="B71">
        <v>26</v>
      </c>
      <c r="C71">
        <v>14</v>
      </c>
      <c r="D71" t="s">
        <v>13</v>
      </c>
      <c r="E71" t="s">
        <v>195</v>
      </c>
      <c r="F71" s="12" t="s">
        <v>124</v>
      </c>
    </row>
    <row r="72" spans="1:6" x14ac:dyDescent="0.35">
      <c r="A72" t="s">
        <v>12</v>
      </c>
      <c r="B72">
        <v>21</v>
      </c>
      <c r="C72">
        <v>14</v>
      </c>
      <c r="D72" t="s">
        <v>13</v>
      </c>
      <c r="E72" t="s">
        <v>195</v>
      </c>
      <c r="F72" s="12" t="s">
        <v>122</v>
      </c>
    </row>
    <row r="73" spans="1:6" x14ac:dyDescent="0.35">
      <c r="A73" t="s">
        <v>88</v>
      </c>
      <c r="B73">
        <v>43</v>
      </c>
      <c r="C73">
        <v>13</v>
      </c>
      <c r="D73" t="s">
        <v>51</v>
      </c>
      <c r="E73" t="s">
        <v>195</v>
      </c>
      <c r="F73" s="12" t="s">
        <v>107</v>
      </c>
    </row>
    <row r="74" spans="1:6" x14ac:dyDescent="0.35">
      <c r="A74" t="s">
        <v>90</v>
      </c>
      <c r="B74">
        <v>48</v>
      </c>
      <c r="C74">
        <v>13</v>
      </c>
      <c r="D74" t="s">
        <v>51</v>
      </c>
      <c r="E74" t="s">
        <v>195</v>
      </c>
      <c r="F74" s="12" t="s">
        <v>52</v>
      </c>
    </row>
    <row r="75" spans="1:6" x14ac:dyDescent="0.35">
      <c r="A75" t="s">
        <v>67</v>
      </c>
      <c r="B75">
        <v>17</v>
      </c>
      <c r="C75">
        <v>14</v>
      </c>
      <c r="D75" t="s">
        <v>13</v>
      </c>
      <c r="E75" t="s">
        <v>195</v>
      </c>
      <c r="F75" s="12" t="s">
        <v>121</v>
      </c>
    </row>
    <row r="76" spans="1:6" x14ac:dyDescent="0.35">
      <c r="A76" t="s">
        <v>118</v>
      </c>
      <c r="B76">
        <v>16</v>
      </c>
      <c r="C76">
        <v>14</v>
      </c>
      <c r="D76" t="s">
        <v>13</v>
      </c>
      <c r="E76" t="s">
        <v>195</v>
      </c>
      <c r="F76" s="12" t="s">
        <v>119</v>
      </c>
    </row>
    <row r="77" spans="1:6" ht="29" x14ac:dyDescent="0.35">
      <c r="A77" t="s">
        <v>58</v>
      </c>
      <c r="B77">
        <v>5</v>
      </c>
      <c r="C77">
        <v>14</v>
      </c>
      <c r="D77" t="s">
        <v>13</v>
      </c>
      <c r="E77" t="s">
        <v>195</v>
      </c>
      <c r="F77" s="12" t="s">
        <v>111</v>
      </c>
    </row>
    <row r="78" spans="1:6" x14ac:dyDescent="0.35">
      <c r="A78" t="s">
        <v>117</v>
      </c>
      <c r="B78">
        <v>14</v>
      </c>
      <c r="C78">
        <v>14</v>
      </c>
      <c r="D78" t="s">
        <v>13</v>
      </c>
      <c r="E78" t="s">
        <v>195</v>
      </c>
      <c r="F78" s="12" t="s">
        <v>116</v>
      </c>
    </row>
    <row r="79" spans="1:6" x14ac:dyDescent="0.35">
      <c r="A79" t="s">
        <v>113</v>
      </c>
      <c r="B79">
        <v>8</v>
      </c>
      <c r="C79">
        <v>14</v>
      </c>
      <c r="D79" t="s">
        <v>13</v>
      </c>
      <c r="E79" t="s">
        <v>195</v>
      </c>
      <c r="F79" s="12" t="s">
        <v>114</v>
      </c>
    </row>
    <row r="80" spans="1:6" x14ac:dyDescent="0.35">
      <c r="A80" t="s">
        <v>115</v>
      </c>
      <c r="B80">
        <v>12</v>
      </c>
      <c r="C80">
        <v>14</v>
      </c>
      <c r="D80" t="s">
        <v>13</v>
      </c>
      <c r="E80" t="s">
        <v>195</v>
      </c>
      <c r="F80" s="12" t="s">
        <v>116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9C19-FEE3-4BE2-BD62-19CDF201419A}">
  <dimension ref="A1:F32"/>
  <sheetViews>
    <sheetView workbookViewId="0">
      <selection activeCell="F10" sqref="F10"/>
    </sheetView>
  </sheetViews>
  <sheetFormatPr defaultRowHeight="14.5" x14ac:dyDescent="0.35"/>
  <cols>
    <col min="1" max="1" width="14.7265625" bestFit="1" customWidth="1"/>
    <col min="2" max="2" width="12.26953125" bestFit="1" customWidth="1"/>
    <col min="3" max="3" width="8.81640625" bestFit="1" customWidth="1"/>
    <col min="4" max="5" width="22.81640625" bestFit="1" customWidth="1"/>
    <col min="6" max="6" width="50.453125" style="12" customWidth="1"/>
  </cols>
  <sheetData>
    <row r="1" spans="1:6" x14ac:dyDescent="0.35">
      <c r="A1" s="7" t="s">
        <v>199</v>
      </c>
    </row>
    <row r="3" spans="1:6" x14ac:dyDescent="0.35">
      <c r="A3" t="s">
        <v>0</v>
      </c>
      <c r="B3" t="s">
        <v>1</v>
      </c>
      <c r="C3" t="s">
        <v>2</v>
      </c>
      <c r="D3" t="s">
        <v>3</v>
      </c>
      <c r="E3" t="s">
        <v>191</v>
      </c>
      <c r="F3" s="12" t="s">
        <v>4</v>
      </c>
    </row>
    <row r="4" spans="1:6" x14ac:dyDescent="0.35">
      <c r="A4" t="s">
        <v>12</v>
      </c>
      <c r="B4">
        <v>21</v>
      </c>
      <c r="C4">
        <v>17</v>
      </c>
      <c r="D4" t="s">
        <v>38</v>
      </c>
      <c r="E4" t="s">
        <v>38</v>
      </c>
      <c r="F4" s="12" t="s">
        <v>188</v>
      </c>
    </row>
    <row r="5" spans="1:6" x14ac:dyDescent="0.35">
      <c r="A5" t="s">
        <v>117</v>
      </c>
      <c r="B5">
        <v>14</v>
      </c>
      <c r="C5">
        <v>17</v>
      </c>
      <c r="D5" t="s">
        <v>38</v>
      </c>
      <c r="E5" t="s">
        <v>38</v>
      </c>
      <c r="F5" s="12" t="s">
        <v>187</v>
      </c>
    </row>
    <row r="6" spans="1:6" x14ac:dyDescent="0.35">
      <c r="A6" t="s">
        <v>63</v>
      </c>
      <c r="B6">
        <v>10</v>
      </c>
      <c r="C6">
        <v>17</v>
      </c>
      <c r="D6" t="s">
        <v>38</v>
      </c>
      <c r="E6" t="s">
        <v>38</v>
      </c>
      <c r="F6" s="12" t="s">
        <v>154</v>
      </c>
    </row>
    <row r="7" spans="1:6" x14ac:dyDescent="0.35">
      <c r="A7" t="s">
        <v>182</v>
      </c>
      <c r="B7">
        <v>6</v>
      </c>
      <c r="C7">
        <v>17</v>
      </c>
      <c r="D7" t="s">
        <v>38</v>
      </c>
      <c r="E7" t="s">
        <v>38</v>
      </c>
      <c r="F7" s="12" t="s">
        <v>44</v>
      </c>
    </row>
    <row r="8" spans="1:6" x14ac:dyDescent="0.35">
      <c r="A8" t="s">
        <v>174</v>
      </c>
      <c r="B8">
        <v>47</v>
      </c>
      <c r="C8">
        <v>16</v>
      </c>
      <c r="D8" t="s">
        <v>38</v>
      </c>
      <c r="E8" t="s">
        <v>38</v>
      </c>
      <c r="F8" s="12" t="s">
        <v>181</v>
      </c>
    </row>
    <row r="9" spans="1:6" x14ac:dyDescent="0.35">
      <c r="A9" t="s">
        <v>172</v>
      </c>
      <c r="B9">
        <v>40</v>
      </c>
      <c r="C9">
        <v>16</v>
      </c>
      <c r="D9" t="s">
        <v>38</v>
      </c>
      <c r="E9" t="s">
        <v>38</v>
      </c>
      <c r="F9" s="12" t="s">
        <v>101</v>
      </c>
    </row>
    <row r="10" spans="1:6" x14ac:dyDescent="0.35">
      <c r="A10" t="s">
        <v>30</v>
      </c>
      <c r="B10">
        <v>32</v>
      </c>
      <c r="C10">
        <v>16</v>
      </c>
      <c r="D10" t="s">
        <v>38</v>
      </c>
      <c r="E10" t="s">
        <v>38</v>
      </c>
      <c r="F10" s="12" t="s">
        <v>170</v>
      </c>
    </row>
    <row r="11" spans="1:6" x14ac:dyDescent="0.35">
      <c r="A11" t="s">
        <v>21</v>
      </c>
      <c r="B11">
        <v>28</v>
      </c>
      <c r="C11">
        <v>16</v>
      </c>
      <c r="D11" t="s">
        <v>38</v>
      </c>
      <c r="E11" t="s">
        <v>38</v>
      </c>
      <c r="F11" s="12" t="s">
        <v>179</v>
      </c>
    </row>
    <row r="12" spans="1:6" x14ac:dyDescent="0.35">
      <c r="A12" t="s">
        <v>164</v>
      </c>
      <c r="B12">
        <v>15</v>
      </c>
      <c r="C12">
        <v>16</v>
      </c>
      <c r="D12" t="s">
        <v>38</v>
      </c>
      <c r="E12" t="s">
        <v>38</v>
      </c>
      <c r="F12" s="12" t="s">
        <v>177</v>
      </c>
    </row>
    <row r="13" spans="1:6" x14ac:dyDescent="0.35">
      <c r="A13" t="s">
        <v>130</v>
      </c>
      <c r="B13">
        <v>46</v>
      </c>
      <c r="C13">
        <v>15</v>
      </c>
      <c r="D13" t="s">
        <v>38</v>
      </c>
      <c r="E13" t="s">
        <v>38</v>
      </c>
      <c r="F13" s="12" t="s">
        <v>39</v>
      </c>
    </row>
    <row r="14" spans="1:6" x14ac:dyDescent="0.35">
      <c r="A14" t="s">
        <v>23</v>
      </c>
      <c r="B14">
        <v>30</v>
      </c>
      <c r="C14">
        <v>15</v>
      </c>
      <c r="D14" t="s">
        <v>38</v>
      </c>
      <c r="E14" t="s">
        <v>38</v>
      </c>
      <c r="F14" s="12" t="s">
        <v>135</v>
      </c>
    </row>
    <row r="15" spans="1:6" x14ac:dyDescent="0.35">
      <c r="A15" t="s">
        <v>15</v>
      </c>
      <c r="B15">
        <v>24</v>
      </c>
      <c r="C15">
        <v>15</v>
      </c>
      <c r="D15" t="s">
        <v>38</v>
      </c>
      <c r="E15" t="s">
        <v>38</v>
      </c>
      <c r="F15" s="12" t="s">
        <v>157</v>
      </c>
    </row>
    <row r="16" spans="1:6" x14ac:dyDescent="0.35">
      <c r="A16" t="s">
        <v>143</v>
      </c>
      <c r="B16">
        <v>13</v>
      </c>
      <c r="C16">
        <v>15</v>
      </c>
      <c r="D16" t="s">
        <v>38</v>
      </c>
      <c r="E16" t="s">
        <v>38</v>
      </c>
      <c r="F16" s="12" t="s">
        <v>154</v>
      </c>
    </row>
    <row r="17" spans="1:6" x14ac:dyDescent="0.35">
      <c r="A17" t="s">
        <v>58</v>
      </c>
      <c r="B17">
        <v>5</v>
      </c>
      <c r="C17">
        <v>15</v>
      </c>
      <c r="D17" t="s">
        <v>38</v>
      </c>
      <c r="E17" t="s">
        <v>38</v>
      </c>
      <c r="F17" s="12" t="s">
        <v>135</v>
      </c>
    </row>
    <row r="18" spans="1:6" x14ac:dyDescent="0.35">
      <c r="A18" t="s">
        <v>109</v>
      </c>
      <c r="B18">
        <v>4</v>
      </c>
      <c r="C18">
        <v>15</v>
      </c>
      <c r="D18" t="s">
        <v>38</v>
      </c>
      <c r="E18" t="s">
        <v>38</v>
      </c>
      <c r="F18" s="12" t="s">
        <v>44</v>
      </c>
    </row>
    <row r="19" spans="1:6" x14ac:dyDescent="0.35">
      <c r="A19" t="s">
        <v>137</v>
      </c>
      <c r="B19">
        <v>2</v>
      </c>
      <c r="C19">
        <v>15</v>
      </c>
      <c r="D19" t="s">
        <v>38</v>
      </c>
      <c r="E19" t="s">
        <v>38</v>
      </c>
      <c r="F19" s="12" t="s">
        <v>154</v>
      </c>
    </row>
    <row r="20" spans="1:6" x14ac:dyDescent="0.35">
      <c r="A20" t="s">
        <v>130</v>
      </c>
      <c r="B20">
        <v>46</v>
      </c>
      <c r="C20">
        <v>14</v>
      </c>
      <c r="D20" t="s">
        <v>38</v>
      </c>
      <c r="E20" t="s">
        <v>38</v>
      </c>
      <c r="F20" s="12" t="s">
        <v>44</v>
      </c>
    </row>
    <row r="21" spans="1:6" x14ac:dyDescent="0.35">
      <c r="A21" t="s">
        <v>37</v>
      </c>
      <c r="B21">
        <v>6</v>
      </c>
      <c r="C21">
        <v>12</v>
      </c>
      <c r="D21" t="s">
        <v>38</v>
      </c>
      <c r="E21" t="s">
        <v>38</v>
      </c>
      <c r="F21" s="12" t="s">
        <v>39</v>
      </c>
    </row>
    <row r="22" spans="1:6" x14ac:dyDescent="0.35">
      <c r="A22" t="s">
        <v>127</v>
      </c>
      <c r="B22">
        <v>37</v>
      </c>
      <c r="C22">
        <v>14</v>
      </c>
      <c r="D22" t="s">
        <v>38</v>
      </c>
      <c r="E22" t="s">
        <v>38</v>
      </c>
      <c r="F22" s="12" t="s">
        <v>44</v>
      </c>
    </row>
    <row r="23" spans="1:6" x14ac:dyDescent="0.35">
      <c r="A23" t="s">
        <v>19</v>
      </c>
      <c r="B23">
        <v>27</v>
      </c>
      <c r="C23">
        <v>14</v>
      </c>
      <c r="D23" t="s">
        <v>38</v>
      </c>
      <c r="E23" t="s">
        <v>38</v>
      </c>
      <c r="F23" s="12" t="s">
        <v>135</v>
      </c>
    </row>
    <row r="24" spans="1:6" x14ac:dyDescent="0.35">
      <c r="A24" t="s">
        <v>17</v>
      </c>
      <c r="B24">
        <v>26</v>
      </c>
      <c r="C24">
        <v>14</v>
      </c>
      <c r="D24" t="s">
        <v>38</v>
      </c>
      <c r="E24" t="s">
        <v>38</v>
      </c>
      <c r="F24" s="12" t="s">
        <v>44</v>
      </c>
    </row>
    <row r="25" spans="1:6" x14ac:dyDescent="0.35">
      <c r="A25" t="s">
        <v>30</v>
      </c>
      <c r="B25">
        <v>15</v>
      </c>
      <c r="C25">
        <v>12</v>
      </c>
      <c r="D25" t="s">
        <v>38</v>
      </c>
      <c r="E25" t="s">
        <v>38</v>
      </c>
      <c r="F25" s="12" t="s">
        <v>44</v>
      </c>
    </row>
    <row r="26" spans="1:6" x14ac:dyDescent="0.35">
      <c r="A26" t="s">
        <v>117</v>
      </c>
      <c r="B26">
        <v>14</v>
      </c>
      <c r="C26">
        <v>14</v>
      </c>
      <c r="D26" t="s">
        <v>38</v>
      </c>
      <c r="E26" t="s">
        <v>38</v>
      </c>
      <c r="F26" s="12" t="s">
        <v>44</v>
      </c>
    </row>
    <row r="27" spans="1:6" x14ac:dyDescent="0.35">
      <c r="A27" t="s">
        <v>115</v>
      </c>
      <c r="B27">
        <v>12</v>
      </c>
      <c r="C27">
        <v>14</v>
      </c>
      <c r="D27" t="s">
        <v>38</v>
      </c>
      <c r="E27" t="s">
        <v>38</v>
      </c>
      <c r="F27" s="12" t="s">
        <v>44</v>
      </c>
    </row>
    <row r="28" spans="1:6" x14ac:dyDescent="0.35">
      <c r="A28" t="s">
        <v>113</v>
      </c>
      <c r="B28">
        <v>8</v>
      </c>
      <c r="C28">
        <v>14</v>
      </c>
      <c r="D28" t="s">
        <v>38</v>
      </c>
      <c r="E28" t="s">
        <v>38</v>
      </c>
      <c r="F28" s="12" t="s">
        <v>44</v>
      </c>
    </row>
    <row r="29" spans="1:6" x14ac:dyDescent="0.35">
      <c r="A29" t="s">
        <v>34</v>
      </c>
      <c r="B29">
        <v>39</v>
      </c>
      <c r="C29">
        <v>13</v>
      </c>
      <c r="D29" t="s">
        <v>38</v>
      </c>
      <c r="E29" t="s">
        <v>38</v>
      </c>
      <c r="F29" s="12" t="s">
        <v>105</v>
      </c>
    </row>
    <row r="30" spans="1:6" x14ac:dyDescent="0.35">
      <c r="A30" t="s">
        <v>85</v>
      </c>
      <c r="B30">
        <v>38</v>
      </c>
      <c r="C30">
        <v>13</v>
      </c>
      <c r="D30" t="s">
        <v>38</v>
      </c>
      <c r="E30" t="s">
        <v>38</v>
      </c>
      <c r="F30" s="12" t="s">
        <v>104</v>
      </c>
    </row>
    <row r="31" spans="1:6" x14ac:dyDescent="0.35">
      <c r="A31" t="s">
        <v>26</v>
      </c>
      <c r="B31">
        <v>31</v>
      </c>
      <c r="C31">
        <v>13</v>
      </c>
      <c r="D31" t="s">
        <v>38</v>
      </c>
      <c r="E31" t="s">
        <v>38</v>
      </c>
      <c r="F31" s="12" t="s">
        <v>101</v>
      </c>
    </row>
    <row r="32" spans="1:6" x14ac:dyDescent="0.35">
      <c r="A32" t="s">
        <v>21</v>
      </c>
      <c r="B32">
        <v>28</v>
      </c>
      <c r="C32">
        <v>13</v>
      </c>
      <c r="D32" t="s">
        <v>38</v>
      </c>
      <c r="E32" t="s">
        <v>38</v>
      </c>
      <c r="F32" s="12" t="s">
        <v>100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3173-54E6-4682-8004-43033BF7ED4D}">
  <dimension ref="A1:B17"/>
  <sheetViews>
    <sheetView workbookViewId="0">
      <selection activeCell="J12" sqref="J12"/>
    </sheetView>
  </sheetViews>
  <sheetFormatPr defaultRowHeight="14.5" x14ac:dyDescent="0.35"/>
  <cols>
    <col min="1" max="2" width="22.81640625" bestFit="1" customWidth="1"/>
  </cols>
  <sheetData>
    <row r="1" spans="1:2" x14ac:dyDescent="0.35">
      <c r="A1" s="13" t="s">
        <v>192</v>
      </c>
      <c r="B1" s="13"/>
    </row>
    <row r="2" spans="1:2" x14ac:dyDescent="0.35">
      <c r="A2" s="8" t="s">
        <v>194</v>
      </c>
      <c r="B2" s="8" t="s">
        <v>193</v>
      </c>
    </row>
    <row r="3" spans="1:2" x14ac:dyDescent="0.35">
      <c r="A3" s="9" t="s">
        <v>6</v>
      </c>
      <c r="B3" s="9" t="s">
        <v>6</v>
      </c>
    </row>
    <row r="4" spans="1:2" x14ac:dyDescent="0.35">
      <c r="A4" s="9" t="s">
        <v>8</v>
      </c>
      <c r="B4" s="9" t="s">
        <v>8</v>
      </c>
    </row>
    <row r="5" spans="1:2" x14ac:dyDescent="0.35">
      <c r="A5" s="9" t="s">
        <v>13</v>
      </c>
      <c r="B5" s="10" t="s">
        <v>195</v>
      </c>
    </row>
    <row r="6" spans="1:2" x14ac:dyDescent="0.35">
      <c r="A6" s="9" t="s">
        <v>6</v>
      </c>
      <c r="B6" s="10" t="s">
        <v>6</v>
      </c>
    </row>
    <row r="7" spans="1:2" x14ac:dyDescent="0.35">
      <c r="A7" s="9" t="s">
        <v>38</v>
      </c>
      <c r="B7" s="9" t="s">
        <v>38</v>
      </c>
    </row>
    <row r="8" spans="1:2" x14ac:dyDescent="0.35">
      <c r="A8" s="9" t="s">
        <v>40</v>
      </c>
      <c r="B8" s="9" t="s">
        <v>40</v>
      </c>
    </row>
    <row r="9" spans="1:2" x14ac:dyDescent="0.35">
      <c r="A9" s="9" t="s">
        <v>42</v>
      </c>
      <c r="B9" s="10" t="s">
        <v>195</v>
      </c>
    </row>
    <row r="10" spans="1:2" x14ac:dyDescent="0.35">
      <c r="A10" s="9" t="s">
        <v>46</v>
      </c>
      <c r="B10" s="9" t="s">
        <v>196</v>
      </c>
    </row>
    <row r="11" spans="1:2" x14ac:dyDescent="0.35">
      <c r="A11" s="9" t="s">
        <v>49</v>
      </c>
      <c r="B11" s="9" t="s">
        <v>49</v>
      </c>
    </row>
    <row r="12" spans="1:2" x14ac:dyDescent="0.35">
      <c r="A12" s="9" t="s">
        <v>51</v>
      </c>
      <c r="B12" s="10" t="s">
        <v>195</v>
      </c>
    </row>
    <row r="13" spans="1:2" x14ac:dyDescent="0.35">
      <c r="A13" s="9" t="s">
        <v>54</v>
      </c>
      <c r="B13" s="10" t="s">
        <v>6</v>
      </c>
    </row>
    <row r="14" spans="1:2" x14ac:dyDescent="0.35">
      <c r="A14" s="9" t="s">
        <v>72</v>
      </c>
      <c r="B14" s="9" t="s">
        <v>72</v>
      </c>
    </row>
    <row r="15" spans="1:2" x14ac:dyDescent="0.35">
      <c r="A15" s="9" t="s">
        <v>93</v>
      </c>
      <c r="B15" s="9" t="s">
        <v>93</v>
      </c>
    </row>
    <row r="16" spans="1:2" x14ac:dyDescent="0.35">
      <c r="A16" s="9" t="s">
        <v>95</v>
      </c>
      <c r="B16" s="10" t="s">
        <v>6</v>
      </c>
    </row>
    <row r="17" spans="1:2" x14ac:dyDescent="0.35">
      <c r="A17" s="9" t="s">
        <v>120</v>
      </c>
      <c r="B17" s="9" t="s">
        <v>120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Failure Log</vt:lpstr>
      <vt:lpstr>Failure Pivot</vt:lpstr>
      <vt:lpstr>Feeder Failure</vt:lpstr>
      <vt:lpstr>Electronic Communication Failur</vt:lpstr>
      <vt:lpstr>Group Reference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Antwi</dc:creator>
  <cp:lastModifiedBy>Chris Antwi</cp:lastModifiedBy>
  <dcterms:created xsi:type="dcterms:W3CDTF">2026-01-12T19:27:00Z</dcterms:created>
  <dcterms:modified xsi:type="dcterms:W3CDTF">2026-02-03T22:04:43Z</dcterms:modified>
</cp:coreProperties>
</file>